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9"/>
  <workbookPr defaultThemeVersion="124226"/>
  <mc:AlternateContent xmlns:mc="http://schemas.openxmlformats.org/markup-compatibility/2006">
    <mc:Choice Requires="x15">
      <x15ac:absPath xmlns:x15ac="http://schemas.microsoft.com/office/spreadsheetml/2010/11/ac" url="/Users/thimyhangvu/Desktop/SAP_XEP/2_GIANG_DAY/TL_HCMUS/CH_HHTRQD/BAI_TAP/"/>
    </mc:Choice>
  </mc:AlternateContent>
  <xr:revisionPtr revIDLastSave="0" documentId="13_ncr:1_{0E7CCFBD-9D9B-1A4A-880C-519262B8F37F}" xr6:coauthVersionLast="47" xr6:coauthVersionMax="47" xr10:uidLastSave="{00000000-0000-0000-0000-000000000000}"/>
  <bookViews>
    <workbookView xWindow="240" yWindow="600" windowWidth="28560" windowHeight="15540" activeTab="5" xr2:uid="{00000000-000D-0000-FFFF-FFFF00000000}"/>
  </bookViews>
  <sheets>
    <sheet name="Solver" sheetId="4" r:id="rId1"/>
    <sheet name="Demo1" sheetId="5" r:id="rId2"/>
    <sheet name="Demo2" sheetId="6" r:id="rId3"/>
    <sheet name="Demo3" sheetId="7" r:id="rId4"/>
    <sheet name="Demo4" sheetId="8" r:id="rId5"/>
    <sheet name="Demo5" sheetId="9" r:id="rId6"/>
  </sheets>
  <definedNames>
    <definedName name="solver_adj" localSheetId="1" hidden="1">Demo1!$B$3,Demo1!$C$3</definedName>
    <definedName name="solver_adj" localSheetId="2" hidden="1">Demo2!$A$4:$A$10</definedName>
    <definedName name="solver_adj" localSheetId="3" hidden="1">Demo3!$H$4:$I$4</definedName>
    <definedName name="solver_adj" localSheetId="4" hidden="1">Demo4!$B$9:$E$12</definedName>
    <definedName name="solver_adj" localSheetId="5" hidden="1">Demo5!$B$10:$D$11</definedName>
    <definedName name="solver_cvg" localSheetId="1" hidden="1">0.0001</definedName>
    <definedName name="solver_cvg" localSheetId="2" hidden="1">0.0001</definedName>
    <definedName name="solver_cvg" localSheetId="3" hidden="1">0.0001</definedName>
    <definedName name="solver_cvg" localSheetId="4" hidden="1">0.0001</definedName>
    <definedName name="solver_cvg" localSheetId="5" hidden="1">0.0001</definedName>
    <definedName name="solver_drv" localSheetId="1" hidden="1">1</definedName>
    <definedName name="solver_drv" localSheetId="2" hidden="1">1</definedName>
    <definedName name="solver_drv" localSheetId="3" hidden="1">1</definedName>
    <definedName name="solver_drv" localSheetId="4" hidden="1">1</definedName>
    <definedName name="solver_drv" localSheetId="5" hidden="1">1</definedName>
    <definedName name="solver_eng" localSheetId="1" hidden="1">3</definedName>
    <definedName name="solver_eng" localSheetId="2" hidden="1">2</definedName>
    <definedName name="solver_eng" localSheetId="3" hidden="1">2</definedName>
    <definedName name="solver_eng" localSheetId="4" hidden="1">2</definedName>
    <definedName name="solver_eng" localSheetId="5" hidden="1">1</definedName>
    <definedName name="solver_eng" localSheetId="0" hidden="1">1</definedName>
    <definedName name="solver_itr" localSheetId="1" hidden="1">2147483647</definedName>
    <definedName name="solver_itr" localSheetId="2" hidden="1">2147483647</definedName>
    <definedName name="solver_itr" localSheetId="3" hidden="1">2147483647</definedName>
    <definedName name="solver_itr" localSheetId="4" hidden="1">2147483647</definedName>
    <definedName name="solver_itr" localSheetId="5" hidden="1">2147483647</definedName>
    <definedName name="solver_lhs1" localSheetId="1" hidden="1">Demo1!$D$5</definedName>
    <definedName name="solver_lhs1" localSheetId="2" hidden="1">Demo2!$C$11:$I$11</definedName>
    <definedName name="solver_lhs1" localSheetId="3" hidden="1">Demo3!$H$4:$I$4</definedName>
    <definedName name="solver_lhs1" localSheetId="4" hidden="1">Demo4!$B$13:$E$13</definedName>
    <definedName name="solver_lhs1" localSheetId="5" hidden="1">Demo5!$B$12</definedName>
    <definedName name="solver_lhs2" localSheetId="1" hidden="1">Demo1!$D$6</definedName>
    <definedName name="solver_lhs2" localSheetId="3" hidden="1">Demo3!$H$6</definedName>
    <definedName name="solver_lhs2" localSheetId="4" hidden="1">Demo4!$B$9:$E$12</definedName>
    <definedName name="solver_lhs2" localSheetId="5" hidden="1">Demo5!$C$12</definedName>
    <definedName name="solver_lhs3" localSheetId="1" hidden="1">Demo1!$D$7</definedName>
    <definedName name="solver_lhs3" localSheetId="3" hidden="1">Demo3!$H$8</definedName>
    <definedName name="solver_lhs3" localSheetId="4" hidden="1">Demo4!$F$9:$F$12</definedName>
    <definedName name="solver_lhs3" localSheetId="5" hidden="1">Demo5!$D$12</definedName>
    <definedName name="solver_lhs4" localSheetId="1" hidden="1">Demo1!$D$8</definedName>
    <definedName name="solver_lhs4" localSheetId="3" hidden="1">Demo3!$I$4</definedName>
    <definedName name="solver_lhs4" localSheetId="5" hidden="1">Demo5!$E$10</definedName>
    <definedName name="solver_lhs5" localSheetId="3" hidden="1">Demo3!$I$4</definedName>
    <definedName name="solver_lhs5" localSheetId="5" hidden="1">Demo5!$E$11</definedName>
    <definedName name="solver_lin" localSheetId="1" hidden="1">2</definedName>
    <definedName name="solver_lin" localSheetId="2" hidden="1">1</definedName>
    <definedName name="solver_lin" localSheetId="3" hidden="1">1</definedName>
    <definedName name="solver_lin" localSheetId="4" hidden="1">1</definedName>
    <definedName name="solver_lin" localSheetId="5" hidden="1">2</definedName>
    <definedName name="solver_lin" localSheetId="0" hidden="1">2</definedName>
    <definedName name="solver_mip" localSheetId="1" hidden="1">2147483647</definedName>
    <definedName name="solver_mip" localSheetId="2" hidden="1">2147483647</definedName>
    <definedName name="solver_mip" localSheetId="3" hidden="1">2147483647</definedName>
    <definedName name="solver_mip" localSheetId="4" hidden="1">2147483647</definedName>
    <definedName name="solver_mip" localSheetId="5" hidden="1">2147483647</definedName>
    <definedName name="solver_mni" localSheetId="1" hidden="1">30</definedName>
    <definedName name="solver_mni" localSheetId="2" hidden="1">30</definedName>
    <definedName name="solver_mni" localSheetId="3" hidden="1">30</definedName>
    <definedName name="solver_mni" localSheetId="4" hidden="1">30</definedName>
    <definedName name="solver_mni" localSheetId="5" hidden="1">30</definedName>
    <definedName name="solver_mrt" localSheetId="1" hidden="1">0.075</definedName>
    <definedName name="solver_mrt" localSheetId="2" hidden="1">0.075</definedName>
    <definedName name="solver_mrt" localSheetId="3" hidden="1">0.075</definedName>
    <definedName name="solver_mrt" localSheetId="4" hidden="1">0.075</definedName>
    <definedName name="solver_mrt" localSheetId="5" hidden="1">0.075</definedName>
    <definedName name="solver_msl" localSheetId="1" hidden="1">2</definedName>
    <definedName name="solver_msl" localSheetId="2" hidden="1">2</definedName>
    <definedName name="solver_msl" localSheetId="3" hidden="1">2</definedName>
    <definedName name="solver_msl" localSheetId="4" hidden="1">2</definedName>
    <definedName name="solver_msl" localSheetId="5" hidden="1">2</definedName>
    <definedName name="solver_neg" localSheetId="1" hidden="1">1</definedName>
    <definedName name="solver_neg" localSheetId="2" hidden="1">1</definedName>
    <definedName name="solver_neg" localSheetId="3" hidden="1">1</definedName>
    <definedName name="solver_neg" localSheetId="4" hidden="1">1</definedName>
    <definedName name="solver_neg" localSheetId="5" hidden="1">1</definedName>
    <definedName name="solver_neg" localSheetId="0" hidden="1">1</definedName>
    <definedName name="solver_nod" localSheetId="1" hidden="1">2147483647</definedName>
    <definedName name="solver_nod" localSheetId="2" hidden="1">2147483647</definedName>
    <definedName name="solver_nod" localSheetId="3" hidden="1">2147483647</definedName>
    <definedName name="solver_nod" localSheetId="4" hidden="1">2147483647</definedName>
    <definedName name="solver_nod" localSheetId="5" hidden="1">2147483647</definedName>
    <definedName name="solver_num" localSheetId="1" hidden="1">4</definedName>
    <definedName name="solver_num" localSheetId="2" hidden="1">1</definedName>
    <definedName name="solver_num" localSheetId="3" hidden="1">5</definedName>
    <definedName name="solver_num" localSheetId="4" hidden="1">3</definedName>
    <definedName name="solver_num" localSheetId="5" hidden="1">5</definedName>
    <definedName name="solver_num" localSheetId="0" hidden="1">0</definedName>
    <definedName name="solver_opt" localSheetId="1" hidden="1">Demo1!$D$4</definedName>
    <definedName name="solver_opt" localSheetId="2" hidden="1">Demo2!$A$2</definedName>
    <definedName name="solver_opt" localSheetId="3" hidden="1">Demo3!$H$7</definedName>
    <definedName name="solver_opt" localSheetId="4" hidden="1">Demo4!$I$2</definedName>
    <definedName name="solver_opt" localSheetId="5" hidden="1">Demo5!$B$15</definedName>
    <definedName name="solver_opt" localSheetId="0" hidden="1">Solver!$F$15</definedName>
    <definedName name="solver_pre" localSheetId="1" hidden="1">0.000001</definedName>
    <definedName name="solver_pre" localSheetId="2" hidden="1">0.000001</definedName>
    <definedName name="solver_pre" localSheetId="3" hidden="1">0.000001</definedName>
    <definedName name="solver_pre" localSheetId="4" hidden="1">0.000001</definedName>
    <definedName name="solver_pre" localSheetId="5" hidden="1">0.000001</definedName>
    <definedName name="solver_rbv" localSheetId="1" hidden="1">1</definedName>
    <definedName name="solver_rbv" localSheetId="2" hidden="1">1</definedName>
    <definedName name="solver_rbv" localSheetId="3" hidden="1">1</definedName>
    <definedName name="solver_rbv" localSheetId="4" hidden="1">1</definedName>
    <definedName name="solver_rbv" localSheetId="5" hidden="1">1</definedName>
    <definedName name="solver_rel1" localSheetId="1" hidden="1">1</definedName>
    <definedName name="solver_rel1" localSheetId="2" hidden="1">3</definedName>
    <definedName name="solver_rel1" localSheetId="3" hidden="1">4</definedName>
    <definedName name="solver_rel1" localSheetId="4" hidden="1">2</definedName>
    <definedName name="solver_rel1" localSheetId="5" hidden="1">2</definedName>
    <definedName name="solver_rel2" localSheetId="1" hidden="1">1</definedName>
    <definedName name="solver_rel2" localSheetId="3" hidden="1">1</definedName>
    <definedName name="solver_rel2" localSheetId="4" hidden="1">5</definedName>
    <definedName name="solver_rel2" localSheetId="5" hidden="1">2</definedName>
    <definedName name="solver_rel3" localSheetId="1" hidden="1">3</definedName>
    <definedName name="solver_rel3" localSheetId="3" hidden="1">1</definedName>
    <definedName name="solver_rel3" localSheetId="4" hidden="1">2</definedName>
    <definedName name="solver_rel3" localSheetId="5" hidden="1">2</definedName>
    <definedName name="solver_rel4" localSheetId="1" hidden="1">3</definedName>
    <definedName name="solver_rel4" localSheetId="3" hidden="1">1</definedName>
    <definedName name="solver_rel4" localSheetId="5" hidden="1">1</definedName>
    <definedName name="solver_rel5" localSheetId="3" hidden="1">1</definedName>
    <definedName name="solver_rel5" localSheetId="5" hidden="1">1</definedName>
    <definedName name="solver_rhs1" localSheetId="1" hidden="1">Demo1!$F$5</definedName>
    <definedName name="solver_rhs1" localSheetId="2" hidden="1">Demo2!$C$12:$I$12</definedName>
    <definedName name="solver_rhs1" localSheetId="3" hidden="1">"integer"</definedName>
    <definedName name="solver_rhs1" localSheetId="4" hidden="1">1</definedName>
    <definedName name="solver_rhs1" localSheetId="5" hidden="1">80</definedName>
    <definedName name="solver_rhs2" localSheetId="1" hidden="1">Demo1!$F$6</definedName>
    <definedName name="solver_rhs2" localSheetId="3" hidden="1">70000000</definedName>
    <definedName name="solver_rhs2" localSheetId="4" hidden="1">"binary"</definedName>
    <definedName name="solver_rhs2" localSheetId="5" hidden="1">70</definedName>
    <definedName name="solver_rhs3" localSheetId="1" hidden="1">Demo1!$F$7</definedName>
    <definedName name="solver_rhs3" localSheetId="3" hidden="1">1500</definedName>
    <definedName name="solver_rhs3" localSheetId="4" hidden="1">1</definedName>
    <definedName name="solver_rhs3" localSheetId="5" hidden="1">100</definedName>
    <definedName name="solver_rhs4" localSheetId="1" hidden="1">Demo1!$F$8</definedName>
    <definedName name="solver_rhs4" localSheetId="3" hidden="1">1200</definedName>
    <definedName name="solver_rhs4" localSheetId="5" hidden="1">100</definedName>
    <definedName name="solver_rhs5" localSheetId="3" hidden="1">900</definedName>
    <definedName name="solver_rhs5" localSheetId="5" hidden="1">150</definedName>
    <definedName name="solver_rlx" localSheetId="1" hidden="1">2</definedName>
    <definedName name="solver_rlx" localSheetId="2" hidden="1">2</definedName>
    <definedName name="solver_rlx" localSheetId="3" hidden="1">1</definedName>
    <definedName name="solver_rlx" localSheetId="4" hidden="1">2</definedName>
    <definedName name="solver_rlx" localSheetId="5" hidden="1">2</definedName>
    <definedName name="solver_rsd" localSheetId="1" hidden="1">0</definedName>
    <definedName name="solver_rsd" localSheetId="2" hidden="1">0</definedName>
    <definedName name="solver_rsd" localSheetId="3" hidden="1">0</definedName>
    <definedName name="solver_rsd" localSheetId="4" hidden="1">0</definedName>
    <definedName name="solver_rsd" localSheetId="5" hidden="1">0</definedName>
    <definedName name="solver_scl" localSheetId="1" hidden="1">1</definedName>
    <definedName name="solver_scl" localSheetId="2" hidden="1">1</definedName>
    <definedName name="solver_scl" localSheetId="3" hidden="1">2</definedName>
    <definedName name="solver_scl" localSheetId="4" hidden="1">1</definedName>
    <definedName name="solver_scl" localSheetId="5" hidden="1">1</definedName>
    <definedName name="solver_sho" localSheetId="1" hidden="1">2</definedName>
    <definedName name="solver_sho" localSheetId="2" hidden="1">2</definedName>
    <definedName name="solver_sho" localSheetId="3" hidden="1">2</definedName>
    <definedName name="solver_sho" localSheetId="4" hidden="1">2</definedName>
    <definedName name="solver_sho" localSheetId="5" hidden="1">2</definedName>
    <definedName name="solver_ssz" localSheetId="1" hidden="1">100</definedName>
    <definedName name="solver_ssz" localSheetId="2" hidden="1">100</definedName>
    <definedName name="solver_ssz" localSheetId="3" hidden="1">100</definedName>
    <definedName name="solver_ssz" localSheetId="4" hidden="1">100</definedName>
    <definedName name="solver_ssz" localSheetId="5" hidden="1">100</definedName>
    <definedName name="solver_tim" localSheetId="1" hidden="1">2147483647</definedName>
    <definedName name="solver_tim" localSheetId="2" hidden="1">2147483647</definedName>
    <definedName name="solver_tim" localSheetId="3" hidden="1">2147483647</definedName>
    <definedName name="solver_tim" localSheetId="4" hidden="1">2147483647</definedName>
    <definedName name="solver_tim" localSheetId="5" hidden="1">2147483647</definedName>
    <definedName name="solver_tol" localSheetId="1" hidden="1">0.01</definedName>
    <definedName name="solver_tol" localSheetId="2" hidden="1">0.01</definedName>
    <definedName name="solver_tol" localSheetId="3" hidden="1">0.01</definedName>
    <definedName name="solver_tol" localSheetId="4" hidden="1">0.01</definedName>
    <definedName name="solver_tol" localSheetId="5" hidden="1">0.01</definedName>
    <definedName name="solver_typ" localSheetId="1" hidden="1">1</definedName>
    <definedName name="solver_typ" localSheetId="2" hidden="1">2</definedName>
    <definedName name="solver_typ" localSheetId="3" hidden="1">1</definedName>
    <definedName name="solver_typ" localSheetId="4" hidden="1">2</definedName>
    <definedName name="solver_typ" localSheetId="5" hidden="1">1</definedName>
    <definedName name="solver_typ" localSheetId="0" hidden="1">1</definedName>
    <definedName name="solver_val" localSheetId="1" hidden="1">0</definedName>
    <definedName name="solver_val" localSheetId="2" hidden="1">0</definedName>
    <definedName name="solver_val" localSheetId="3" hidden="1">0</definedName>
    <definedName name="solver_val" localSheetId="4" hidden="1">0</definedName>
    <definedName name="solver_val" localSheetId="5" hidden="1">0</definedName>
    <definedName name="solver_val" localSheetId="0" hidden="1">0</definedName>
    <definedName name="solver_ver" localSheetId="1" hidden="1">2</definedName>
    <definedName name="solver_ver" localSheetId="2" hidden="1">2</definedName>
    <definedName name="solver_ver" localSheetId="3" hidden="1">2</definedName>
    <definedName name="solver_ver" localSheetId="4" hidden="1">2</definedName>
    <definedName name="solver_ver" localSheetId="5" hidden="1">2</definedName>
    <definedName name="solver_ver" localSheetId="0" hidden="1">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9" l="1"/>
  <c r="D12" i="9"/>
  <c r="B12" i="9"/>
  <c r="B15" i="9"/>
  <c r="E11" i="9"/>
  <c r="E10" i="9"/>
  <c r="I2" i="8"/>
  <c r="C13" i="8"/>
  <c r="D13" i="8"/>
  <c r="E13" i="8"/>
  <c r="B13" i="8"/>
  <c r="F10" i="8"/>
  <c r="F11" i="8"/>
  <c r="F12" i="8"/>
  <c r="F9" i="8"/>
  <c r="H8" i="7"/>
  <c r="H6" i="7"/>
  <c r="H5" i="7"/>
  <c r="H7" i="7" s="1"/>
  <c r="I11" i="6"/>
  <c r="H11" i="6"/>
  <c r="G11" i="6"/>
  <c r="E11" i="6"/>
  <c r="D11" i="6"/>
  <c r="C11" i="6"/>
  <c r="A2" i="6"/>
  <c r="D5" i="5"/>
  <c r="D4" i="5"/>
  <c r="F11" i="6"/>
  <c r="D6" i="5"/>
  <c r="D7" i="5"/>
  <c r="D8" i="5"/>
</calcChain>
</file>

<file path=xl/sharedStrings.xml><?xml version="1.0" encoding="utf-8"?>
<sst xmlns="http://schemas.openxmlformats.org/spreadsheetml/2006/main" count="181" uniqueCount="120">
  <si>
    <t>Bài toán tối ưu hóa lợi nhuận</t>
  </si>
  <si>
    <t>Bài toán phân công lao động</t>
  </si>
  <si>
    <t>Công cụ phân tích hỗ trợ tối ưu hóa hàm mục tiêu có thể đo lường được.</t>
  </si>
  <si>
    <t xml:space="preserve"> + Quy hoạch tuyến tích (Linear Optimization): Bài toán tối ưu hóa nguồn lực, Bài toán phân công lao động, …</t>
  </si>
  <si>
    <t xml:space="preserve"> + Quy hoạch phi tuyến (Nonlinear Optimization): Bài toán đầu tư cổ phiếu, …</t>
  </si>
  <si>
    <t>Các thành phần</t>
  </si>
  <si>
    <t xml:space="preserve"> + Ràng buộc (constraints): Các điều kiện mà bài toán phải tuân thủ</t>
  </si>
  <si>
    <t>Tổng quan về solver</t>
  </si>
  <si>
    <t xml:space="preserve"> + Biến kết quả (objective cells): biến mục tiêu cần đạt được (tối thiểu, tối đa, đạt giá trị cho trước)</t>
  </si>
  <si>
    <t xml:space="preserve"> + Biến quyết định (variable cells): Biến sẽ thay đổi để đạt được biến mục tiêu</t>
  </si>
  <si>
    <t xml:space="preserve"> + Phương pháp tối ưu: Linear Optimization, GRG Optimization</t>
  </si>
  <si>
    <t>Số lượng</t>
  </si>
  <si>
    <t>Lợi nhuận</t>
  </si>
  <si>
    <t>Nhân công</t>
  </si>
  <si>
    <t>Nguyên liệu</t>
  </si>
  <si>
    <t>Sản phẩm A</t>
  </si>
  <si>
    <t>Sản phẩm B</t>
  </si>
  <si>
    <t>Biến quyết định</t>
  </si>
  <si>
    <t>Biến mục tiêu</t>
  </si>
  <si>
    <t>Tổng</t>
  </si>
  <si>
    <t>Tổng lợi nhuận</t>
  </si>
  <si>
    <t>Số lượng A1</t>
  </si>
  <si>
    <t>Số lượng A2</t>
  </si>
  <si>
    <t>Ràng buộc</t>
  </si>
  <si>
    <t>Số lượng A1 tối thiểu</t>
  </si>
  <si>
    <t>Số lượng A2 tối thiểu</t>
  </si>
  <si>
    <t>Nhà máy dự tính sản xuất 2 sản phẩm A1, A2. Sản phẩm A1 cần 200 nhân công và cần 8.000 tiền nguyên liệu, đem đến lợi nhuận 6.000; A2 cần 500 nhân công à 12.000 tiền nguyên liệu, đem đến lợi nhuận là 10.000. Ràng buộc: Số nhân công tối đa mà nhà máy có thể cấp là 250.000 và kinh phí cho nguyên liệu tối đa là 6.000.000. Số lượng sản phẩm A1, A2 tối thiểu phải sản xuất lần lượt là 100, 150.</t>
  </si>
  <si>
    <t>&gt;=</t>
  </si>
  <si>
    <t>&lt;=</t>
  </si>
  <si>
    <t>Hướng dẫn</t>
  </si>
  <si>
    <t>Tổng số NV (mục tiêu)</t>
  </si>
  <si>
    <t>Thứ hai</t>
  </si>
  <si>
    <t>Thứ ba</t>
  </si>
  <si>
    <t>Thứ tư</t>
  </si>
  <si>
    <t>Thứ năm</t>
  </si>
  <si>
    <t>Thứ sáu</t>
  </si>
  <si>
    <t>Thứ bảy</t>
  </si>
  <si>
    <t>Chủ nhật</t>
  </si>
  <si>
    <t>NV làm việc (SUMPRODUCT)</t>
  </si>
  <si>
    <t>Nhu cầu mỗi ngày</t>
  </si>
  <si>
    <t>Ngày bắt đầu làm việc</t>
  </si>
  <si>
    <t>Hàm mục tiêu</t>
  </si>
  <si>
    <t>Tối đa (Max)</t>
  </si>
  <si>
    <t>Tối thiểu (min)</t>
  </si>
  <si>
    <t>Số lượng nhân viên bắt đầu</t>
  </si>
  <si>
    <t>Tổng nhân viên cần thuê</t>
  </si>
  <si>
    <t>Y1 --&gt; Y7</t>
  </si>
  <si>
    <t>Nhu cầu tối thiểu mỗi ngày</t>
  </si>
  <si>
    <t>với:</t>
  </si>
  <si>
    <t>Một công ty dịch vụ hoạt động 7 ngày/tuần. 
Nhu cầu nhân viên tối thiểu từng ngày là: Thứ hai: 15; Thứ ba: 19; Thứ tư: 17; Thứ năm: 14; Thứ sáu: 17; Thứ bảy: 12; Chủ nhật: 10.
Mỗi nhân viên làm 5 ngày liên tiếp rồi nghỉ 2 ngày liên tiếp (mẫu lịch 5–2 xoay vòng theo ngày bắt đầu làm việc). Dùng solver tìm ra tổng số nhân viên cần thuê ít nhất mà vẫn đảm bảo quy định.</t>
  </si>
  <si>
    <t>B1: Xác định biến quyết định (mặc định là 0), biến mục tiêu, ràng buộc</t>
  </si>
  <si>
    <t>B2: Xác định công thức liên kết biến quyết định và biến mục tiêu</t>
  </si>
  <si>
    <t>B3: Xác định công thức cho các ràng buộc</t>
  </si>
  <si>
    <t>B4: Lập bảng tính</t>
  </si>
  <si>
    <t>B5: Chạy solver</t>
  </si>
  <si>
    <r>
      <t xml:space="preserve"> =</t>
    </r>
    <r>
      <rPr>
        <sz val="11"/>
        <color rgb="FF0432FF"/>
        <rFont val="Calibri (Body)"/>
      </rPr>
      <t>Số lượng A1</t>
    </r>
    <r>
      <rPr>
        <sz val="11"/>
        <color theme="1"/>
        <rFont val="Calibri"/>
        <family val="2"/>
        <scheme val="minor"/>
      </rPr>
      <t xml:space="preserve"> * 6000 + </t>
    </r>
    <r>
      <rPr>
        <sz val="11"/>
        <color rgb="FF0432FF"/>
        <rFont val="Calibri (Body)"/>
      </rPr>
      <t>Số lượng A2</t>
    </r>
    <r>
      <rPr>
        <sz val="11"/>
        <color theme="1"/>
        <rFont val="Calibri"/>
        <family val="2"/>
        <scheme val="minor"/>
      </rPr>
      <t xml:space="preserve"> * 12000</t>
    </r>
  </si>
  <si>
    <r>
      <t xml:space="preserve">Tổng nhân công &lt;= </t>
    </r>
    <r>
      <rPr>
        <sz val="11"/>
        <color rgb="FFFF0000"/>
        <rFont val="Calibri (Body)"/>
      </rPr>
      <t>250.000</t>
    </r>
  </si>
  <si>
    <r>
      <t xml:space="preserve">Tổng nguyên liệu &lt;= </t>
    </r>
    <r>
      <rPr>
        <sz val="11"/>
        <color rgb="FFFF0000"/>
        <rFont val="Calibri (Body)"/>
      </rPr>
      <t>6.000.000</t>
    </r>
  </si>
  <si>
    <r>
      <t xml:space="preserve"> =</t>
    </r>
    <r>
      <rPr>
        <sz val="11"/>
        <color rgb="FF0432FF"/>
        <rFont val="Calibri (Body)"/>
      </rPr>
      <t>Số lượng A1</t>
    </r>
    <r>
      <rPr>
        <sz val="11"/>
        <color theme="1"/>
        <rFont val="Calibri"/>
        <family val="2"/>
        <scheme val="minor"/>
      </rPr>
      <t xml:space="preserve"> * 200 + </t>
    </r>
    <r>
      <rPr>
        <sz val="11"/>
        <color rgb="FF0432FF"/>
        <rFont val="Calibri (Body)"/>
      </rPr>
      <t>Số lượng A2</t>
    </r>
    <r>
      <rPr>
        <sz val="11"/>
        <color theme="1"/>
        <rFont val="Calibri"/>
        <family val="2"/>
        <scheme val="minor"/>
      </rPr>
      <t xml:space="preserve"> * 500</t>
    </r>
  </si>
  <si>
    <r>
      <t xml:space="preserve"> =</t>
    </r>
    <r>
      <rPr>
        <sz val="11"/>
        <color rgb="FF0432FF"/>
        <rFont val="Calibri (Body)"/>
      </rPr>
      <t>Số lượng A1</t>
    </r>
    <r>
      <rPr>
        <sz val="11"/>
        <color theme="1"/>
        <rFont val="Calibri"/>
        <family val="2"/>
        <scheme val="minor"/>
      </rPr>
      <t xml:space="preserve"> * 8000 + </t>
    </r>
    <r>
      <rPr>
        <sz val="11"/>
        <color rgb="FF0432FF"/>
        <rFont val="Calibri (Body)"/>
      </rPr>
      <t>Số lượng A2</t>
    </r>
    <r>
      <rPr>
        <sz val="11"/>
        <color theme="1"/>
        <rFont val="Calibri"/>
        <family val="2"/>
        <scheme val="minor"/>
      </rPr>
      <t xml:space="preserve"> * 10000</t>
    </r>
  </si>
  <si>
    <r>
      <t xml:space="preserve">Số lượng A1 &gt;= </t>
    </r>
    <r>
      <rPr>
        <sz val="11"/>
        <color rgb="FFFF0000"/>
        <rFont val="Calibri (Body)"/>
      </rPr>
      <t>100</t>
    </r>
  </si>
  <si>
    <r>
      <t xml:space="preserve">Số lượng A2 &gt;= </t>
    </r>
    <r>
      <rPr>
        <sz val="11"/>
        <color rgb="FFFF0000"/>
        <rFont val="Calibri (Body)"/>
      </rPr>
      <t>150</t>
    </r>
  </si>
  <si>
    <r>
      <t xml:space="preserve"> = </t>
    </r>
    <r>
      <rPr>
        <sz val="11"/>
        <color rgb="FF0432FF"/>
        <rFont val="Calibri (Body)"/>
      </rPr>
      <t>X1 + …+ X7</t>
    </r>
  </si>
  <si>
    <t>X1 --&gt; X7: số lượng nhân viên bắt đầu ca làm việc vào thứ 2 --&gt; 7 (đặt tại A4:A10).</t>
  </si>
  <si>
    <t xml:space="preserve"> =SUMPRODUCT($A$4:$A$10,*4:*10) &gt;= Yi</t>
  </si>
  <si>
    <t>Một cơ sở sản xuất hai loại sản phẩm: bánh A và bánh B. Trong một tuần, cơ sở cần xác định số lượng mỗi loại bánh cần sản xuất để tối đa hóa lợi nhuận.
Bánh A có chi phí sản xuất 40.000 đồng/hộp, giá bán 75.000 đồng/hộp.
Bánh B có chi phí sản xuất 55.000 đồng/hộp, giá bán 95.000 đồng/hộp.
Năng lực sản xuất tối đa của cơ sở là 1.200 hộp bánh A/tuần và 900 hộp bánh B/tuần.
Tổng vốn dành cho sản xuất trong tuần không vượt quá 70.000.000 đồng.
Do giới hạn về nhân công và đóng gói, tổng số hộp bánh A và B không được vượt quá 1.500 hộp/tuần.
Yêu cầu: Xác định số lượng bánh A và bánh B cần sản xuất trong một tuần để lợi nhuận đạt tối đa. Sử dụng Excel Solver để giải bài toán.</t>
  </si>
  <si>
    <t>Max(tối đa)</t>
  </si>
  <si>
    <t>Số lượng A, B không vượt quá năng lực sản xuất tối đa</t>
  </si>
  <si>
    <t>Bánh A</t>
  </si>
  <si>
    <t>Bánh B</t>
  </si>
  <si>
    <t>Chi phí sản xuất</t>
  </si>
  <si>
    <t>Giá bán</t>
  </si>
  <si>
    <t>Tổng doanh thu</t>
  </si>
  <si>
    <t>Tổng chi phí</t>
  </si>
  <si>
    <t>Lợi nhuận (H7)</t>
  </si>
  <si>
    <t>Số lượng bánh A, B trong một tuần (H4, I4)</t>
  </si>
  <si>
    <t>Tổng chi phí (H6) không vượt quá 70.000.000</t>
  </si>
  <si>
    <t>Tổng số lượng</t>
  </si>
  <si>
    <t>Tổng số hộp bánh không vượt quá 1500 (H8)</t>
  </si>
  <si>
    <t>SLA (H4)</t>
  </si>
  <si>
    <t>SLB (I4)</t>
  </si>
  <si>
    <t>SLA + SLB</t>
  </si>
  <si>
    <t>H6</t>
  </si>
  <si>
    <t>Số lượng A, B là số nguyên</t>
  </si>
  <si>
    <t>Nhân viên</t>
  </si>
  <si>
    <t>Công việc 1</t>
  </si>
  <si>
    <t>Công việc 2</t>
  </si>
  <si>
    <t>Công việc 3</t>
  </si>
  <si>
    <t>Công việc 4</t>
  </si>
  <si>
    <t>An</t>
  </si>
  <si>
    <t>Bình</t>
  </si>
  <si>
    <t>Cường</t>
  </si>
  <si>
    <t>Dung</t>
  </si>
  <si>
    <r>
      <t xml:space="preserve">Một công ty có </t>
    </r>
    <r>
      <rPr>
        <b/>
        <sz val="11"/>
        <color theme="1"/>
        <rFont val="Calibri"/>
        <family val="2"/>
        <scheme val="minor"/>
      </rPr>
      <t>4 nhân viên</t>
    </r>
    <r>
      <rPr>
        <sz val="11"/>
        <color theme="1"/>
        <rFont val="Calibri"/>
        <family val="2"/>
        <scheme val="minor"/>
      </rPr>
      <t xml:space="preserve"> cần được phân công thực hiện </t>
    </r>
    <r>
      <rPr>
        <b/>
        <sz val="11"/>
        <color theme="1"/>
        <rFont val="Calibri"/>
        <family val="2"/>
        <scheme val="minor"/>
      </rPr>
      <t>4 công việc</t>
    </r>
    <r>
      <rPr>
        <sz val="11"/>
        <color theme="1"/>
        <rFont val="Calibri"/>
        <family val="2"/>
        <scheme val="minor"/>
      </rPr>
      <t xml:space="preserve">. Mỗi nhân viên chỉ được thực hiện </t>
    </r>
    <r>
      <rPr>
        <b/>
        <sz val="11"/>
        <color theme="1"/>
        <rFont val="Calibri"/>
        <family val="2"/>
        <scheme val="minor"/>
      </rPr>
      <t>một công việc</t>
    </r>
    <r>
      <rPr>
        <sz val="11"/>
        <color theme="1"/>
        <rFont val="Calibri"/>
        <family val="2"/>
        <scheme val="minor"/>
      </rPr>
      <t xml:space="preserve">, và mỗi công việc chỉ được giao cho </t>
    </r>
    <r>
      <rPr>
        <b/>
        <sz val="11"/>
        <color theme="1"/>
        <rFont val="Calibri"/>
        <family val="2"/>
        <scheme val="minor"/>
      </rPr>
      <t>một nhân viên</t>
    </r>
    <r>
      <rPr>
        <sz val="11"/>
        <color theme="1"/>
        <rFont val="Calibri"/>
        <family val="2"/>
        <scheme val="minor"/>
      </rPr>
      <t>. Hãy sử dụng Excel Solver để xác định phương án phân công nhân viên vào các công việc sao cho tổng chi phí thực hiện là thấp nhất.
Chi phí dự kiến (đơn vị: triệu đồng) khi từng nhân viên thực hiện từng công việc như sau:</t>
    </r>
  </si>
  <si>
    <t>Bảng phân công</t>
  </si>
  <si>
    <t>Tổng cv/nv</t>
  </si>
  <si>
    <t>Tổng nv/cv</t>
  </si>
  <si>
    <t>Min</t>
  </si>
  <si>
    <t>Bảng phân công (B9:E12)</t>
  </si>
  <si>
    <t>Tổng cv/nv = 1</t>
  </si>
  <si>
    <t>Tổng nv/cv = 1</t>
  </si>
  <si>
    <t>Công ty có 2 kho cung cấp hàng cho 3 cửa hàng. Chi phí vận chuyển một đơn vị:</t>
  </si>
  <si>
    <t>CH1</t>
  </si>
  <si>
    <t>CH2</t>
  </si>
  <si>
    <t>CH3</t>
  </si>
  <si>
    <t>Khả năng cung cấp</t>
  </si>
  <si>
    <t>Kho A</t>
  </si>
  <si>
    <t>Kho B</t>
  </si>
  <si>
    <t>Nhu cầu</t>
  </si>
  <si>
    <r>
      <t xml:space="preserve">Tìm phương án vận chuyển có </t>
    </r>
    <r>
      <rPr>
        <b/>
        <sz val="11"/>
        <color theme="1"/>
        <rFont val="Calibri"/>
        <family val="2"/>
        <scheme val="minor"/>
      </rPr>
      <t>tổng chi phí thấp nhất</t>
    </r>
    <r>
      <rPr>
        <sz val="11"/>
        <color theme="1"/>
        <rFont val="Calibri"/>
        <family val="2"/>
        <scheme val="minor"/>
      </rPr>
      <t>.</t>
    </r>
  </si>
  <si>
    <t>Số lượng vận chuyển từ kho i đến cửa hàng j (CH)</t>
  </si>
  <si>
    <t>Số lượng cung cấp phải đáp ứng nhu cầu từng cửa hàng</t>
  </si>
  <si>
    <t>Kho không cung cấp vượt quá khả năng của mỗi kho</t>
  </si>
  <si>
    <t>(SUMPRODUCT(Ma trận chi phí, Ma trận số lượng)</t>
  </si>
  <si>
    <t>Phương án vận chuyển</t>
  </si>
  <si>
    <t>Cung cấp từng kho</t>
  </si>
  <si>
    <t>Cung cấp từng cửa hàng</t>
  </si>
  <si>
    <t>(=80)</t>
  </si>
  <si>
    <t>(=70)</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</si>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</sst>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14" x14ac:knownFonts="1">
    <font>
      <sz val="11"/>
      <color theme="1"/>
      <name val="Calibri"/>
      <family val="2"/>
      <scheme val="minor"/>
    </font>
    <font>
      <b/>
      <sz val="11"/>
      <color theme="1"/>
      <name val="Calibri"/>
      <family val="2"/>
      <scheme val="minor"/>
    </font>
    <font>
      <sz val="11"/>
      <color theme="1"/>
      <name val="Calibri"/>
      <family val="2"/>
      <scheme val="minor"/>
    </font>
    <font>
      <sz val="11"/>
      <color rgb="FFFF0000"/>
      <name val="Calibri (Body)"/>
    </font>
    <font>
      <sz val="11"/>
      <color rgb="FF009051"/>
      <name val="Calibri"/>
      <family val="2"/>
      <scheme val="minor"/>
    </font>
    <font>
      <sz val="11"/>
      <color rgb="FF0432FF"/>
      <name val="Calibri"/>
      <family val="2"/>
      <scheme val="minor"/>
    </font>
    <font>
      <sz val="11"/>
      <color rgb="FFFF0000"/>
      <name val="Calibri"/>
      <family val="2"/>
      <scheme val="minor"/>
    </font>
    <font>
      <b/>
      <sz val="11"/>
      <color rgb="FFFF0000"/>
      <name val="Calibri"/>
      <family val="2"/>
      <scheme val="minor"/>
    </font>
    <font>
      <b/>
      <sz val="11"/>
      <name val="Calibri"/>
      <family val="2"/>
    </font>
    <font>
      <b/>
      <sz val="11"/>
      <color rgb="FF009051"/>
      <name val="Calibri"/>
      <family val="2"/>
      <scheme val="minor"/>
    </font>
    <font>
      <b/>
      <sz val="11"/>
      <color rgb="FF0432FF"/>
      <name val="Calibri"/>
      <family val="2"/>
      <scheme val="minor"/>
    </font>
    <font>
      <sz val="11"/>
      <color rgb="FF0432FF"/>
      <name val="Calibri (Body)"/>
    </font>
    <font>
      <b/>
      <sz val="11"/>
      <color rgb="FFFF0000"/>
      <name val="Calibri"/>
      <family val="2"/>
    </font>
    <font>
      <sz val="11"/>
      <color rgb="FFC0000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E6F3FF"/>
        <bgColor rgb="FFE6F3FF"/>
      </patternFill>
    </fill>
    <fill>
      <patternFill patternType="solid">
        <fgColor theme="6" tint="0.59999389629810485"/>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4" tint="0.79998168889431442"/>
        <bgColor rgb="FFFFFACD"/>
      </patternFill>
    </fill>
  </fills>
  <borders count="5">
    <border>
      <left/>
      <right/>
      <top/>
      <bottom/>
      <diagonal/>
    </border>
    <border>
      <left style="thin">
        <color auto="1"/>
      </left>
      <right style="thin">
        <color auto="1"/>
      </right>
      <top style="thin">
        <color auto="1"/>
      </top>
      <bottom style="thin">
        <color auto="1"/>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s>
  <cellStyleXfs count="2">
    <xf numFmtId="0" fontId="0" fillId="0" borderId="0"/>
    <xf numFmtId="43" fontId="2" fillId="0" borderId="0" applyFont="0" applyFill="0" applyBorder="0" applyAlignment="0" applyProtection="0"/>
  </cellStyleXfs>
  <cellXfs count="37">
    <xf numFmtId="0" fontId="0" fillId="0" borderId="0" xfId="0"/>
    <xf numFmtId="0" fontId="1" fillId="0" borderId="0" xfId="0" applyFont="1"/>
    <xf numFmtId="0" fontId="1" fillId="2" borderId="0" xfId="0" applyFont="1" applyFill="1"/>
    <xf numFmtId="0" fontId="0" fillId="2" borderId="0" xfId="0" applyFill="1"/>
    <xf numFmtId="0" fontId="4" fillId="0" borderId="0" xfId="0" applyFont="1"/>
    <xf numFmtId="0" fontId="5" fillId="0" borderId="0" xfId="0" applyFont="1"/>
    <xf numFmtId="3" fontId="6" fillId="0" borderId="0" xfId="0" applyNumberFormat="1" applyFont="1"/>
    <xf numFmtId="3" fontId="0" fillId="0" borderId="0" xfId="0" applyNumberFormat="1"/>
    <xf numFmtId="0" fontId="0" fillId="0" borderId="0" xfId="0" applyAlignment="1">
      <alignment vertical="top" wrapText="1"/>
    </xf>
    <xf numFmtId="0" fontId="6" fillId="0" borderId="0" xfId="0" applyFont="1"/>
    <xf numFmtId="164" fontId="6" fillId="0" borderId="0" xfId="1" applyNumberFormat="1" applyFont="1"/>
    <xf numFmtId="0" fontId="0" fillId="0" borderId="0" xfId="0" applyAlignment="1">
      <alignment horizontal="center" wrapText="1"/>
    </xf>
    <xf numFmtId="0" fontId="7" fillId="0" borderId="0" xfId="0" applyFont="1"/>
    <xf numFmtId="0" fontId="8" fillId="0" borderId="0" xfId="0" applyFont="1"/>
    <xf numFmtId="0" fontId="8" fillId="3" borderId="2" xfId="0" applyFont="1" applyFill="1" applyBorder="1" applyAlignment="1">
      <alignment horizontal="center" vertical="center"/>
    </xf>
    <xf numFmtId="0" fontId="0" fillId="0" borderId="2" xfId="0" applyBorder="1" applyAlignment="1">
      <alignment horizontal="center" vertical="center"/>
    </xf>
    <xf numFmtId="1" fontId="0" fillId="0" borderId="0" xfId="0" applyNumberFormat="1"/>
    <xf numFmtId="0" fontId="0" fillId="0" borderId="4" xfId="0" applyBorder="1" applyAlignment="1">
      <alignment horizontal="center" vertical="center"/>
    </xf>
    <xf numFmtId="0" fontId="0" fillId="0" borderId="1" xfId="0" applyBorder="1"/>
    <xf numFmtId="0" fontId="9" fillId="0" borderId="0" xfId="0" applyFont="1"/>
    <xf numFmtId="0" fontId="0" fillId="0" borderId="0" xfId="0" applyAlignment="1">
      <alignment horizontal="right"/>
    </xf>
    <xf numFmtId="0" fontId="9" fillId="4" borderId="0" xfId="0" applyFont="1" applyFill="1"/>
    <xf numFmtId="164" fontId="9" fillId="6" borderId="0" xfId="1" applyNumberFormat="1" applyFont="1" applyFill="1"/>
    <xf numFmtId="3" fontId="10" fillId="5" borderId="0" xfId="0" applyNumberFormat="1" applyFont="1" applyFill="1"/>
    <xf numFmtId="0" fontId="10" fillId="7" borderId="3" xfId="0" applyFont="1" applyFill="1" applyBorder="1"/>
    <xf numFmtId="0" fontId="12" fillId="0" borderId="4" xfId="0" applyFont="1" applyBorder="1" applyAlignment="1">
      <alignment horizontal="center"/>
    </xf>
    <xf numFmtId="0" fontId="12" fillId="0" borderId="2" xfId="0" applyFont="1" applyBorder="1" applyAlignment="1">
      <alignment horizontal="center"/>
    </xf>
    <xf numFmtId="1" fontId="7" fillId="0" borderId="4" xfId="0" applyNumberFormat="1" applyFont="1" applyBorder="1" applyAlignment="1">
      <alignment horizontal="center"/>
    </xf>
    <xf numFmtId="1" fontId="7" fillId="0" borderId="2" xfId="0" applyNumberFormat="1" applyFont="1" applyBorder="1" applyAlignment="1">
      <alignment horizontal="center"/>
    </xf>
    <xf numFmtId="0" fontId="0" fillId="0" borderId="0" xfId="0" applyAlignment="1">
      <alignment horizontal="left" vertical="top" wrapText="1"/>
    </xf>
    <xf numFmtId="0" fontId="0" fillId="0" borderId="0" xfId="0" applyAlignment="1">
      <alignment horizontal="left" vertical="top"/>
    </xf>
    <xf numFmtId="0" fontId="1" fillId="0" borderId="0" xfId="0" applyFont="1" applyAlignment="1">
      <alignment horizontal="center"/>
    </xf>
    <xf numFmtId="4" fontId="0" fillId="0" borderId="0" xfId="0" applyNumberFormat="1"/>
    <xf numFmtId="0" fontId="13" fillId="0" borderId="0" xfId="0" applyFont="1"/>
    <xf numFmtId="3" fontId="13" fillId="2" borderId="0" xfId="0" applyNumberFormat="1" applyFont="1" applyFill="1"/>
    <xf numFmtId="4" fontId="5" fillId="2" borderId="0" xfId="0" applyNumberFormat="1" applyFont="1" applyFill="1"/>
    <xf numFmtId="0" fontId="0" fillId="0" borderId="0" xfId="0" applyFont="1"/>
  </cellXfs>
  <cellStyles count="2">
    <cellStyle name="Comma" xfId="1" builtinId="3"/>
    <cellStyle name="Normal" xfId="0" builtinId="0"/>
  </cellStyles>
  <dxfs count="0"/>
  <tableStyles count="0" defaultTableStyle="TableStyleMedium9" defaultPivotStyle="PivotStyleLight16"/>
  <colors>
    <mruColors>
      <color rgb="FF0432FF"/>
      <color rgb="FF0090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642471</xdr:colOff>
      <xdr:row>0</xdr:row>
      <xdr:rowOff>141942</xdr:rowOff>
    </xdr:from>
    <xdr:to>
      <xdr:col>11</xdr:col>
      <xdr:colOff>455539</xdr:colOff>
      <xdr:row>22</xdr:row>
      <xdr:rowOff>29884</xdr:rowOff>
    </xdr:to>
    <xdr:pic>
      <xdr:nvPicPr>
        <xdr:cNvPr id="2" name="Picture 1">
          <a:extLst>
            <a:ext uri="{FF2B5EF4-FFF2-40B4-BE49-F238E27FC236}">
              <a16:creationId xmlns:a16="http://schemas.microsoft.com/office/drawing/2014/main" id="{EDCD8A04-20E8-9E81-3D2D-2F09EA776338}"/>
            </a:ext>
          </a:extLst>
        </xdr:cNvPr>
        <xdr:cNvPicPr>
          <a:picLocks noChangeAspect="1"/>
        </xdr:cNvPicPr>
      </xdr:nvPicPr>
      <xdr:blipFill rotWithShape="1">
        <a:blip xmlns:r="http://schemas.openxmlformats.org/officeDocument/2006/relationships" r:embed="rId1"/>
        <a:srcRect l="2103" b="3299"/>
        <a:stretch/>
      </xdr:blipFill>
      <xdr:spPr>
        <a:xfrm>
          <a:off x="6447118" y="141942"/>
          <a:ext cx="3130009" cy="416111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D5AEC-0AEB-A846-A95C-9DF694889A13}">
  <dimension ref="A1:G9"/>
  <sheetViews>
    <sheetView zoomScale="170" zoomScaleNormal="170" workbookViewId="0">
      <selection activeCell="F14" sqref="F14"/>
    </sheetView>
  </sheetViews>
  <sheetFormatPr baseColWidth="10" defaultRowHeight="15" x14ac:dyDescent="0.2"/>
  <sheetData>
    <row r="1" spans="1:7" x14ac:dyDescent="0.2">
      <c r="A1" s="2" t="s">
        <v>7</v>
      </c>
      <c r="B1" s="3"/>
      <c r="C1" s="3"/>
      <c r="D1" s="3"/>
      <c r="E1" s="3"/>
      <c r="F1" s="3"/>
      <c r="G1" s="3"/>
    </row>
    <row r="2" spans="1:7" x14ac:dyDescent="0.2">
      <c r="A2" t="s">
        <v>2</v>
      </c>
    </row>
    <row r="3" spans="1:7" x14ac:dyDescent="0.2">
      <c r="A3" t="s">
        <v>3</v>
      </c>
    </row>
    <row r="4" spans="1:7" x14ac:dyDescent="0.2">
      <c r="A4" t="s">
        <v>4</v>
      </c>
    </row>
    <row r="5" spans="1:7" x14ac:dyDescent="0.2">
      <c r="A5" t="s">
        <v>5</v>
      </c>
    </row>
    <row r="6" spans="1:7" x14ac:dyDescent="0.2">
      <c r="A6" s="1" t="s">
        <v>8</v>
      </c>
    </row>
    <row r="7" spans="1:7" x14ac:dyDescent="0.2">
      <c r="A7" s="1" t="s">
        <v>9</v>
      </c>
    </row>
    <row r="8" spans="1:7" x14ac:dyDescent="0.2">
      <c r="A8" s="1" t="s">
        <v>6</v>
      </c>
    </row>
    <row r="9" spans="1:7" x14ac:dyDescent="0.2">
      <c r="A9" s="1" t="s">
        <v>10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E1CDE-556B-8743-92C5-8B4E6D5C3EF8}">
  <dimension ref="A1:L18"/>
  <sheetViews>
    <sheetView zoomScale="200" zoomScaleNormal="200" workbookViewId="0">
      <selection activeCell="D6" sqref="D6"/>
    </sheetView>
  </sheetViews>
  <sheetFormatPr baseColWidth="10" defaultRowHeight="15" x14ac:dyDescent="0.2"/>
  <cols>
    <col min="1" max="1" width="16.1640625" customWidth="1"/>
    <col min="4" max="4" width="12.6640625" bestFit="1" customWidth="1"/>
    <col min="5" max="5" width="5.6640625" customWidth="1"/>
    <col min="6" max="6" width="11.6640625" bestFit="1" customWidth="1"/>
    <col min="7" max="7" width="4.33203125" customWidth="1"/>
    <col min="8" max="8" width="13" bestFit="1" customWidth="1"/>
    <col min="9" max="9" width="12.33203125" bestFit="1" customWidth="1"/>
    <col min="10" max="10" width="11.83203125" customWidth="1"/>
    <col min="11" max="11" width="6.6640625" customWidth="1"/>
    <col min="12" max="12" width="4.33203125" customWidth="1"/>
  </cols>
  <sheetData>
    <row r="1" spans="1:12" ht="15" customHeight="1" x14ac:dyDescent="0.2">
      <c r="A1" s="2" t="s">
        <v>0</v>
      </c>
      <c r="B1" s="3"/>
      <c r="C1" s="3"/>
      <c r="D1" s="3"/>
      <c r="E1" s="3"/>
      <c r="F1" s="3"/>
      <c r="H1" s="29" t="s">
        <v>26</v>
      </c>
      <c r="I1" s="29"/>
      <c r="J1" s="29"/>
      <c r="K1" s="29"/>
      <c r="L1" s="8"/>
    </row>
    <row r="2" spans="1:12" x14ac:dyDescent="0.2">
      <c r="B2" s="1" t="s">
        <v>15</v>
      </c>
      <c r="C2" s="1" t="s">
        <v>16</v>
      </c>
      <c r="D2" s="1" t="s">
        <v>19</v>
      </c>
      <c r="E2" s="31" t="s">
        <v>23</v>
      </c>
      <c r="F2" s="31"/>
      <c r="H2" s="29"/>
      <c r="I2" s="29"/>
      <c r="J2" s="29"/>
      <c r="K2" s="29"/>
      <c r="L2" s="8"/>
    </row>
    <row r="3" spans="1:12" x14ac:dyDescent="0.2">
      <c r="A3" t="s">
        <v>11</v>
      </c>
      <c r="B3" s="23">
        <v>250</v>
      </c>
      <c r="C3" s="23">
        <v>400</v>
      </c>
      <c r="H3" s="29"/>
      <c r="I3" s="29"/>
      <c r="J3" s="29"/>
      <c r="K3" s="29"/>
      <c r="L3" s="8"/>
    </row>
    <row r="4" spans="1:12" x14ac:dyDescent="0.2">
      <c r="A4" t="s">
        <v>12</v>
      </c>
      <c r="B4" s="7">
        <v>6000</v>
      </c>
      <c r="C4" s="7">
        <v>12000</v>
      </c>
      <c r="D4" s="22">
        <f>SUMPRODUCT(B4:C4,$B$3:$C$3)</f>
        <v>6300000</v>
      </c>
      <c r="E4" s="4"/>
      <c r="H4" s="29"/>
      <c r="I4" s="29"/>
      <c r="J4" s="29"/>
      <c r="K4" s="29"/>
      <c r="L4" s="8"/>
    </row>
    <row r="5" spans="1:12" x14ac:dyDescent="0.2">
      <c r="A5" t="s">
        <v>13</v>
      </c>
      <c r="B5" s="7">
        <v>200</v>
      </c>
      <c r="C5" s="7">
        <v>500</v>
      </c>
      <c r="D5" s="10">
        <f>SUMPRODUCT(B5:C5,$B$3:$C$3)</f>
        <v>250000</v>
      </c>
      <c r="E5" s="9" t="s">
        <v>28</v>
      </c>
      <c r="F5" s="6">
        <v>250000</v>
      </c>
      <c r="H5" s="29"/>
      <c r="I5" s="29"/>
      <c r="J5" s="29"/>
      <c r="K5" s="29"/>
      <c r="L5" s="8"/>
    </row>
    <row r="6" spans="1:12" x14ac:dyDescent="0.2">
      <c r="A6" t="s">
        <v>14</v>
      </c>
      <c r="B6" s="7">
        <v>8000</v>
      </c>
      <c r="C6" s="7">
        <v>10000</v>
      </c>
      <c r="D6" s="10">
        <f t="shared" ref="D6:D8" si="0">SUMPRODUCT(B6:C6,$B$3:$C$3)</f>
        <v>6000000</v>
      </c>
      <c r="E6" s="9" t="s">
        <v>28</v>
      </c>
      <c r="F6" s="6">
        <v>6000000</v>
      </c>
      <c r="H6" s="29"/>
      <c r="I6" s="29"/>
      <c r="J6" s="29"/>
      <c r="K6" s="29"/>
      <c r="L6" s="8"/>
    </row>
    <row r="7" spans="1:12" x14ac:dyDescent="0.2">
      <c r="A7" t="s">
        <v>24</v>
      </c>
      <c r="B7">
        <v>1</v>
      </c>
      <c r="C7" s="7">
        <v>0</v>
      </c>
      <c r="D7" s="10">
        <f t="shared" si="0"/>
        <v>250</v>
      </c>
      <c r="E7" s="9" t="s">
        <v>27</v>
      </c>
      <c r="F7" s="6">
        <v>100</v>
      </c>
      <c r="H7" s="29"/>
      <c r="I7" s="29"/>
      <c r="J7" s="29"/>
      <c r="K7" s="29"/>
      <c r="L7" s="8"/>
    </row>
    <row r="8" spans="1:12" x14ac:dyDescent="0.2">
      <c r="A8" t="s">
        <v>25</v>
      </c>
      <c r="B8" s="7">
        <v>0</v>
      </c>
      <c r="C8" s="7">
        <v>1</v>
      </c>
      <c r="D8" s="10">
        <f t="shared" si="0"/>
        <v>400</v>
      </c>
      <c r="E8" s="9" t="s">
        <v>27</v>
      </c>
      <c r="F8" s="6">
        <v>150</v>
      </c>
      <c r="H8" s="29"/>
      <c r="I8" s="29"/>
      <c r="J8" s="29"/>
      <c r="K8" s="29"/>
    </row>
    <row r="9" spans="1:12" x14ac:dyDescent="0.2">
      <c r="H9" s="29"/>
      <c r="I9" s="29"/>
      <c r="J9" s="29"/>
      <c r="K9" s="29"/>
    </row>
    <row r="10" spans="1:12" x14ac:dyDescent="0.2">
      <c r="A10" s="12" t="s">
        <v>29</v>
      </c>
      <c r="H10" s="29"/>
      <c r="I10" s="29"/>
      <c r="J10" s="29"/>
      <c r="K10" s="29"/>
    </row>
    <row r="11" spans="1:12" x14ac:dyDescent="0.2">
      <c r="A11" t="s">
        <v>50</v>
      </c>
      <c r="H11" t="s">
        <v>17</v>
      </c>
      <c r="I11" s="5" t="s">
        <v>21</v>
      </c>
    </row>
    <row r="12" spans="1:12" x14ac:dyDescent="0.2">
      <c r="A12" t="s">
        <v>51</v>
      </c>
      <c r="I12" s="5" t="s">
        <v>22</v>
      </c>
    </row>
    <row r="13" spans="1:12" x14ac:dyDescent="0.2">
      <c r="A13" t="s">
        <v>52</v>
      </c>
      <c r="H13" t="s">
        <v>18</v>
      </c>
      <c r="I13" s="4" t="s">
        <v>20</v>
      </c>
      <c r="K13" t="s">
        <v>55</v>
      </c>
    </row>
    <row r="14" spans="1:12" x14ac:dyDescent="0.2">
      <c r="A14" t="s">
        <v>53</v>
      </c>
      <c r="H14" t="s">
        <v>23</v>
      </c>
      <c r="I14" t="s">
        <v>56</v>
      </c>
      <c r="K14" t="s">
        <v>58</v>
      </c>
    </row>
    <row r="15" spans="1:12" x14ac:dyDescent="0.2">
      <c r="A15" t="s">
        <v>54</v>
      </c>
      <c r="I15" t="s">
        <v>57</v>
      </c>
      <c r="K15" t="s">
        <v>59</v>
      </c>
    </row>
    <row r="16" spans="1:12" x14ac:dyDescent="0.2">
      <c r="I16" t="s">
        <v>60</v>
      </c>
    </row>
    <row r="17" spans="8:9" x14ac:dyDescent="0.2">
      <c r="I17" t="s">
        <v>61</v>
      </c>
    </row>
    <row r="18" spans="8:9" x14ac:dyDescent="0.2">
      <c r="H18" t="s">
        <v>41</v>
      </c>
      <c r="I18" t="s">
        <v>42</v>
      </c>
    </row>
  </sheetData>
  <mergeCells count="2">
    <mergeCell ref="H1:K10"/>
    <mergeCell ref="E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E9F27-43C7-B442-A6E8-B239DF2CAB71}">
  <dimension ref="A1:P33"/>
  <sheetViews>
    <sheetView zoomScale="180" zoomScaleNormal="180" workbookViewId="0">
      <selection activeCell="K14" sqref="K14:K18"/>
    </sheetView>
  </sheetViews>
  <sheetFormatPr baseColWidth="10" defaultColWidth="8.83203125" defaultRowHeight="15" x14ac:dyDescent="0.2"/>
  <cols>
    <col min="1" max="1" width="15.33203125" customWidth="1"/>
    <col min="2" max="2" width="22.6640625" bestFit="1" customWidth="1"/>
    <col min="3" max="3" width="7" bestFit="1" customWidth="1"/>
    <col min="4" max="5" width="6.5" bestFit="1" customWidth="1"/>
    <col min="6" max="6" width="8" bestFit="1" customWidth="1"/>
    <col min="7" max="7" width="7.33203125" bestFit="1" customWidth="1"/>
    <col min="8" max="8" width="7.5" bestFit="1" customWidth="1"/>
    <col min="9" max="9" width="8" bestFit="1" customWidth="1"/>
    <col min="10" max="10" width="5.1640625" customWidth="1"/>
    <col min="11" max="11" width="13.6640625" customWidth="1"/>
    <col min="15" max="15" width="9.5" customWidth="1"/>
  </cols>
  <sheetData>
    <row r="1" spans="1:16" x14ac:dyDescent="0.2">
      <c r="A1" s="2" t="s">
        <v>1</v>
      </c>
      <c r="B1" s="3"/>
      <c r="C1" s="3"/>
      <c r="D1" s="3"/>
      <c r="E1" s="3"/>
      <c r="F1" s="3"/>
      <c r="G1" s="3"/>
      <c r="H1" s="3"/>
      <c r="I1" s="3"/>
      <c r="K1" s="29" t="s">
        <v>49</v>
      </c>
      <c r="L1" s="30"/>
      <c r="M1" s="30"/>
      <c r="N1" s="30"/>
      <c r="O1" s="30"/>
      <c r="P1" s="30"/>
    </row>
    <row r="2" spans="1:16" x14ac:dyDescent="0.2">
      <c r="A2" s="21">
        <f>SUM(A4:A10)</f>
        <v>21</v>
      </c>
      <c r="B2" s="13" t="s">
        <v>30</v>
      </c>
      <c r="C2" s="19"/>
      <c r="K2" s="30"/>
      <c r="L2" s="30"/>
      <c r="M2" s="30"/>
      <c r="N2" s="30"/>
      <c r="O2" s="30"/>
      <c r="P2" s="30"/>
    </row>
    <row r="3" spans="1:16" ht="32" x14ac:dyDescent="0.2">
      <c r="A3" s="11" t="s">
        <v>44</v>
      </c>
      <c r="B3" t="s">
        <v>40</v>
      </c>
      <c r="C3" s="14" t="s">
        <v>31</v>
      </c>
      <c r="D3" s="14" t="s">
        <v>32</v>
      </c>
      <c r="E3" s="14" t="s">
        <v>33</v>
      </c>
      <c r="F3" s="14" t="s">
        <v>34</v>
      </c>
      <c r="G3" s="14" t="s">
        <v>35</v>
      </c>
      <c r="H3" s="14" t="s">
        <v>36</v>
      </c>
      <c r="I3" s="14" t="s">
        <v>37</v>
      </c>
      <c r="K3" s="30"/>
      <c r="L3" s="30"/>
      <c r="M3" s="30"/>
      <c r="N3" s="30"/>
      <c r="O3" s="30"/>
      <c r="P3" s="30"/>
    </row>
    <row r="4" spans="1:16" x14ac:dyDescent="0.2">
      <c r="A4" s="24">
        <v>8</v>
      </c>
      <c r="B4" s="18" t="s">
        <v>31</v>
      </c>
      <c r="C4" s="17">
        <v>1</v>
      </c>
      <c r="D4" s="15">
        <v>1</v>
      </c>
      <c r="E4" s="15">
        <v>1</v>
      </c>
      <c r="F4" s="15">
        <v>1</v>
      </c>
      <c r="G4" s="15">
        <v>1</v>
      </c>
      <c r="H4" s="15">
        <v>0</v>
      </c>
      <c r="I4" s="15">
        <v>0</v>
      </c>
      <c r="K4" s="30"/>
      <c r="L4" s="30"/>
      <c r="M4" s="30"/>
      <c r="N4" s="30"/>
      <c r="O4" s="30"/>
      <c r="P4" s="30"/>
    </row>
    <row r="5" spans="1:16" x14ac:dyDescent="0.2">
      <c r="A5" s="24">
        <v>3</v>
      </c>
      <c r="B5" s="18" t="s">
        <v>32</v>
      </c>
      <c r="C5" s="17">
        <v>0</v>
      </c>
      <c r="D5" s="15">
        <v>1</v>
      </c>
      <c r="E5" s="15">
        <v>1</v>
      </c>
      <c r="F5" s="15">
        <v>1</v>
      </c>
      <c r="G5" s="15">
        <v>1</v>
      </c>
      <c r="H5" s="15">
        <v>1</v>
      </c>
      <c r="I5" s="15">
        <v>0</v>
      </c>
      <c r="K5" s="30"/>
      <c r="L5" s="30"/>
      <c r="M5" s="30"/>
      <c r="N5" s="30"/>
      <c r="O5" s="30"/>
      <c r="P5" s="30"/>
    </row>
    <row r="6" spans="1:16" x14ac:dyDescent="0.2">
      <c r="A6" s="24">
        <v>2</v>
      </c>
      <c r="B6" s="18" t="s">
        <v>33</v>
      </c>
      <c r="C6" s="17">
        <v>0</v>
      </c>
      <c r="D6" s="15">
        <v>0</v>
      </c>
      <c r="E6" s="15">
        <v>1</v>
      </c>
      <c r="F6" s="15">
        <v>1</v>
      </c>
      <c r="G6" s="15">
        <v>1</v>
      </c>
      <c r="H6" s="15">
        <v>1</v>
      </c>
      <c r="I6" s="15">
        <v>1</v>
      </c>
      <c r="K6" s="30"/>
      <c r="L6" s="30"/>
      <c r="M6" s="30"/>
      <c r="N6" s="30"/>
      <c r="O6" s="30"/>
      <c r="P6" s="30"/>
    </row>
    <row r="7" spans="1:16" x14ac:dyDescent="0.2">
      <c r="A7" s="24">
        <v>0</v>
      </c>
      <c r="B7" s="18" t="s">
        <v>34</v>
      </c>
      <c r="C7" s="17">
        <v>1</v>
      </c>
      <c r="D7" s="15">
        <v>0</v>
      </c>
      <c r="E7" s="15">
        <v>0</v>
      </c>
      <c r="F7" s="15">
        <v>1</v>
      </c>
      <c r="G7" s="15">
        <v>1</v>
      </c>
      <c r="H7" s="15">
        <v>1</v>
      </c>
      <c r="I7" s="15">
        <v>1</v>
      </c>
      <c r="K7" s="30"/>
      <c r="L7" s="30"/>
      <c r="M7" s="30"/>
      <c r="N7" s="30"/>
      <c r="O7" s="30"/>
      <c r="P7" s="30"/>
    </row>
    <row r="8" spans="1:16" x14ac:dyDescent="0.2">
      <c r="A8" s="24">
        <v>4</v>
      </c>
      <c r="B8" s="18" t="s">
        <v>35</v>
      </c>
      <c r="C8" s="17">
        <v>1</v>
      </c>
      <c r="D8" s="15">
        <v>1</v>
      </c>
      <c r="E8" s="15">
        <v>0</v>
      </c>
      <c r="F8" s="15">
        <v>0</v>
      </c>
      <c r="G8" s="15">
        <v>1</v>
      </c>
      <c r="H8" s="15">
        <v>1</v>
      </c>
      <c r="I8" s="15">
        <v>1</v>
      </c>
      <c r="K8" s="30"/>
      <c r="L8" s="30"/>
      <c r="M8" s="30"/>
      <c r="N8" s="30"/>
      <c r="O8" s="30"/>
      <c r="P8" s="30"/>
    </row>
    <row r="9" spans="1:16" x14ac:dyDescent="0.2">
      <c r="A9" s="24">
        <v>3</v>
      </c>
      <c r="B9" s="18" t="s">
        <v>36</v>
      </c>
      <c r="C9" s="17">
        <v>1</v>
      </c>
      <c r="D9" s="15">
        <v>1</v>
      </c>
      <c r="E9" s="15">
        <v>1</v>
      </c>
      <c r="F9" s="15">
        <v>0</v>
      </c>
      <c r="G9" s="15">
        <v>0</v>
      </c>
      <c r="H9" s="15">
        <v>1</v>
      </c>
      <c r="I9" s="15">
        <v>1</v>
      </c>
      <c r="K9" s="30"/>
      <c r="L9" s="30"/>
      <c r="M9" s="30"/>
      <c r="N9" s="30"/>
      <c r="O9" s="30"/>
      <c r="P9" s="30"/>
    </row>
    <row r="10" spans="1:16" x14ac:dyDescent="0.2">
      <c r="A10" s="24">
        <v>1</v>
      </c>
      <c r="B10" s="18" t="s">
        <v>37</v>
      </c>
      <c r="C10" s="17">
        <v>1</v>
      </c>
      <c r="D10" s="15">
        <v>1</v>
      </c>
      <c r="E10" s="15">
        <v>1</v>
      </c>
      <c r="F10" s="15">
        <v>1</v>
      </c>
      <c r="G10" s="15">
        <v>0</v>
      </c>
      <c r="H10" s="15">
        <v>0</v>
      </c>
      <c r="I10" s="15">
        <v>1</v>
      </c>
      <c r="K10" s="30"/>
      <c r="L10" s="30"/>
      <c r="M10" s="30"/>
      <c r="N10" s="30"/>
      <c r="O10" s="30"/>
      <c r="P10" s="30"/>
    </row>
    <row r="11" spans="1:16" x14ac:dyDescent="0.2">
      <c r="A11" s="5"/>
      <c r="B11" s="18" t="s">
        <v>38</v>
      </c>
      <c r="C11" s="27">
        <f>SUMPRODUCT($A$4:$A$10,C4:C10)</f>
        <v>16</v>
      </c>
      <c r="D11" s="28">
        <f>SUMPRODUCT($A$4:$A$10,D4:D10)</f>
        <v>19</v>
      </c>
      <c r="E11" s="28">
        <f>SUMPRODUCT($A$4:$A$10,E4:E10)</f>
        <v>17</v>
      </c>
      <c r="F11" s="28">
        <f t="shared" ref="E11:I11" si="0">SUMPRODUCT($A$4:$A$10,F4:F10)</f>
        <v>14</v>
      </c>
      <c r="G11" s="28">
        <f>SUMPRODUCT($A$4:$A$10,G4:G10)</f>
        <v>17</v>
      </c>
      <c r="H11" s="28">
        <f>SUMPRODUCT($A$4:$A$10,H4:H10)</f>
        <v>12</v>
      </c>
      <c r="I11" s="28">
        <f>SUMPRODUCT($A$4:$A$10,I4:I10)</f>
        <v>10</v>
      </c>
      <c r="K11" s="30"/>
      <c r="L11" s="30"/>
      <c r="M11" s="30"/>
      <c r="N11" s="30"/>
      <c r="O11" s="30"/>
      <c r="P11" s="30"/>
    </row>
    <row r="12" spans="1:16" x14ac:dyDescent="0.2">
      <c r="B12" s="18" t="s">
        <v>39</v>
      </c>
      <c r="C12" s="25">
        <v>15</v>
      </c>
      <c r="D12" s="26">
        <v>19</v>
      </c>
      <c r="E12" s="26">
        <v>17</v>
      </c>
      <c r="F12" s="26">
        <v>14</v>
      </c>
      <c r="G12" s="26">
        <v>17</v>
      </c>
      <c r="H12" s="26">
        <v>12</v>
      </c>
      <c r="I12" s="26">
        <v>10</v>
      </c>
      <c r="K12" s="30"/>
      <c r="L12" s="30"/>
      <c r="M12" s="30"/>
      <c r="N12" s="30"/>
      <c r="O12" s="30"/>
      <c r="P12" s="30"/>
    </row>
    <row r="14" spans="1:16" x14ac:dyDescent="0.2">
      <c r="A14" t="s">
        <v>50</v>
      </c>
      <c r="K14" t="s">
        <v>17</v>
      </c>
      <c r="L14" s="5" t="s">
        <v>63</v>
      </c>
    </row>
    <row r="15" spans="1:16" x14ac:dyDescent="0.2">
      <c r="A15" t="s">
        <v>51</v>
      </c>
      <c r="K15" t="s">
        <v>18</v>
      </c>
      <c r="L15" s="4" t="s">
        <v>45</v>
      </c>
      <c r="O15" t="s">
        <v>62</v>
      </c>
    </row>
    <row r="16" spans="1:16" x14ac:dyDescent="0.2">
      <c r="A16" t="s">
        <v>52</v>
      </c>
      <c r="K16" t="s">
        <v>23</v>
      </c>
      <c r="L16" s="9" t="s">
        <v>64</v>
      </c>
    </row>
    <row r="17" spans="1:13" x14ac:dyDescent="0.2">
      <c r="A17" t="s">
        <v>53</v>
      </c>
      <c r="K17" s="20" t="s">
        <v>48</v>
      </c>
      <c r="L17" s="9" t="s">
        <v>46</v>
      </c>
      <c r="M17" t="s">
        <v>47</v>
      </c>
    </row>
    <row r="18" spans="1:13" x14ac:dyDescent="0.2">
      <c r="A18" t="s">
        <v>54</v>
      </c>
      <c r="K18" t="s">
        <v>41</v>
      </c>
      <c r="L18" t="s">
        <v>43</v>
      </c>
    </row>
    <row r="19" spans="1:13" x14ac:dyDescent="0.2">
      <c r="A19" s="9"/>
    </row>
    <row r="20" spans="1:13" x14ac:dyDescent="0.2">
      <c r="A20" s="9"/>
    </row>
    <row r="21" spans="1:13" x14ac:dyDescent="0.2">
      <c r="A21" s="9"/>
    </row>
    <row r="22" spans="1:13" x14ac:dyDescent="0.2">
      <c r="A22" s="9"/>
    </row>
    <row r="23" spans="1:13" x14ac:dyDescent="0.2">
      <c r="A23" s="9"/>
    </row>
    <row r="24" spans="1:13" x14ac:dyDescent="0.2">
      <c r="A24" s="9"/>
    </row>
    <row r="26" spans="1:13" x14ac:dyDescent="0.2">
      <c r="A26" s="13"/>
    </row>
    <row r="27" spans="1:13" x14ac:dyDescent="0.2">
      <c r="B27" s="16"/>
    </row>
    <row r="28" spans="1:13" x14ac:dyDescent="0.2">
      <c r="B28" s="16"/>
    </row>
    <row r="29" spans="1:13" x14ac:dyDescent="0.2">
      <c r="B29" s="16"/>
    </row>
    <row r="30" spans="1:13" x14ac:dyDescent="0.2">
      <c r="B30" s="16"/>
    </row>
    <row r="31" spans="1:13" x14ac:dyDescent="0.2">
      <c r="B31" s="16"/>
    </row>
    <row r="32" spans="1:13" x14ac:dyDescent="0.2">
      <c r="B32" s="16"/>
    </row>
    <row r="33" spans="2:2" x14ac:dyDescent="0.2">
      <c r="B33" s="16"/>
    </row>
  </sheetData>
  <scenarios current="0">
    <scenario name="XXX" count="7" user="Microsoft Office User" comment="Created by Microsoft Office User on 10/4/2025">
      <inputCells r="A4" val="0"/>
      <inputCells r="A5" val="0"/>
      <inputCells r="A6" val="0"/>
      <inputCells r="A7" val="0"/>
      <inputCells r="A8" val="0"/>
      <inputCells r="A9" val="0"/>
      <inputCells r="A10" val="0"/>
    </scenario>
    <scenario name="Optimize" count="7" user="Microsoft Office User" comment="Created by Microsoft Office User on 10/4/2025">
      <inputCells r="A4" val="8"/>
      <inputCells r="A5" val="3"/>
      <inputCells r="A6" val="2"/>
      <inputCells r="A7" val="0"/>
      <inputCells r="A8" val="4"/>
      <inputCells r="A9" val="3"/>
      <inputCells r="A10" val="1"/>
    </scenario>
  </scenarios>
  <mergeCells count="1">
    <mergeCell ref="K1:P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6EE70-6A6C-0A4E-BBCC-08928185CB98}">
  <dimension ref="A1:I27"/>
  <sheetViews>
    <sheetView zoomScale="156" zoomScaleNormal="156" workbookViewId="0">
      <selection activeCell="E15" sqref="E15"/>
    </sheetView>
  </sheetViews>
  <sheetFormatPr baseColWidth="10" defaultRowHeight="15" x14ac:dyDescent="0.2"/>
  <cols>
    <col min="1" max="1" width="24.1640625" customWidth="1"/>
    <col min="7" max="7" width="13" bestFit="1" customWidth="1"/>
    <col min="8" max="8" width="13.6640625" bestFit="1" customWidth="1"/>
  </cols>
  <sheetData>
    <row r="1" spans="1:9" x14ac:dyDescent="0.2">
      <c r="A1" s="29" t="s">
        <v>65</v>
      </c>
      <c r="B1" s="30"/>
      <c r="C1" s="30"/>
      <c r="D1" s="30"/>
      <c r="E1" s="30"/>
      <c r="F1" s="30"/>
      <c r="H1" t="s">
        <v>68</v>
      </c>
      <c r="I1" t="s">
        <v>69</v>
      </c>
    </row>
    <row r="2" spans="1:9" x14ac:dyDescent="0.2">
      <c r="A2" s="30"/>
      <c r="B2" s="30"/>
      <c r="C2" s="30"/>
      <c r="D2" s="30"/>
      <c r="E2" s="30"/>
      <c r="F2" s="30"/>
      <c r="G2" t="s">
        <v>70</v>
      </c>
      <c r="H2" s="32">
        <v>40000</v>
      </c>
      <c r="I2" s="32">
        <v>55000</v>
      </c>
    </row>
    <row r="3" spans="1:9" x14ac:dyDescent="0.2">
      <c r="A3" s="30"/>
      <c r="B3" s="30"/>
      <c r="C3" s="30"/>
      <c r="D3" s="30"/>
      <c r="E3" s="30"/>
      <c r="F3" s="30"/>
      <c r="G3" t="s">
        <v>71</v>
      </c>
      <c r="H3" s="32">
        <v>75000</v>
      </c>
      <c r="I3" s="32">
        <v>95000</v>
      </c>
    </row>
    <row r="4" spans="1:9" x14ac:dyDescent="0.2">
      <c r="A4" s="30"/>
      <c r="B4" s="30"/>
      <c r="C4" s="30"/>
      <c r="D4" s="30"/>
      <c r="E4" s="30"/>
      <c r="F4" s="30"/>
      <c r="G4" t="s">
        <v>11</v>
      </c>
      <c r="H4" s="34">
        <v>833.33333333333337</v>
      </c>
      <c r="I4" s="34">
        <v>666.66666666666663</v>
      </c>
    </row>
    <row r="5" spans="1:9" x14ac:dyDescent="0.2">
      <c r="A5" s="30"/>
      <c r="B5" s="30"/>
      <c r="C5" s="30"/>
      <c r="D5" s="30"/>
      <c r="E5" s="30"/>
      <c r="F5" s="30"/>
      <c r="G5" t="s">
        <v>72</v>
      </c>
      <c r="H5" s="32">
        <f>SUMPRODUCT(H4:I4,H3:I3)</f>
        <v>125833333.33333333</v>
      </c>
      <c r="I5" s="32"/>
    </row>
    <row r="6" spans="1:9" x14ac:dyDescent="0.2">
      <c r="A6" s="30"/>
      <c r="B6" s="30"/>
      <c r="C6" s="30"/>
      <c r="D6" s="30"/>
      <c r="E6" s="30"/>
      <c r="F6" s="30"/>
      <c r="G6" t="s">
        <v>73</v>
      </c>
      <c r="H6" s="32">
        <f>SUMPRODUCT(H4:I4,H2:I2)</f>
        <v>70000000</v>
      </c>
      <c r="I6" s="32"/>
    </row>
    <row r="7" spans="1:9" x14ac:dyDescent="0.2">
      <c r="A7" s="30"/>
      <c r="B7" s="30"/>
      <c r="C7" s="30"/>
      <c r="D7" s="30"/>
      <c r="E7" s="30"/>
      <c r="F7" s="30"/>
      <c r="G7" t="s">
        <v>20</v>
      </c>
      <c r="H7" s="35">
        <f>H5-H6</f>
        <v>55833333.333333328</v>
      </c>
      <c r="I7" s="32"/>
    </row>
    <row r="8" spans="1:9" x14ac:dyDescent="0.2">
      <c r="A8" s="30"/>
      <c r="B8" s="30"/>
      <c r="C8" s="30"/>
      <c r="D8" s="30"/>
      <c r="E8" s="30"/>
      <c r="F8" s="30"/>
      <c r="G8" t="s">
        <v>77</v>
      </c>
      <c r="H8" s="7">
        <f>H4+I4</f>
        <v>1500</v>
      </c>
      <c r="I8" s="32"/>
    </row>
    <row r="9" spans="1:9" x14ac:dyDescent="0.2">
      <c r="A9" s="30"/>
      <c r="B9" s="30"/>
      <c r="C9" s="30"/>
      <c r="D9" s="30"/>
      <c r="E9" s="30"/>
      <c r="F9" s="30"/>
      <c r="H9" s="32"/>
      <c r="I9" s="32"/>
    </row>
    <row r="10" spans="1:9" x14ac:dyDescent="0.2">
      <c r="A10" s="30"/>
      <c r="B10" s="30"/>
      <c r="C10" s="30"/>
      <c r="D10" s="30"/>
      <c r="E10" s="30"/>
      <c r="F10" s="30"/>
      <c r="H10" s="32"/>
      <c r="I10" s="32"/>
    </row>
    <row r="11" spans="1:9" x14ac:dyDescent="0.2">
      <c r="A11" s="30"/>
      <c r="B11" s="30"/>
      <c r="C11" s="30"/>
      <c r="D11" s="30"/>
      <c r="E11" s="30"/>
      <c r="F11" s="30"/>
    </row>
    <row r="12" spans="1:9" x14ac:dyDescent="0.2">
      <c r="A12" s="30"/>
      <c r="B12" s="30"/>
      <c r="C12" s="30"/>
      <c r="D12" s="30"/>
      <c r="E12" s="30"/>
      <c r="F12" s="30"/>
    </row>
    <row r="14" spans="1:9" x14ac:dyDescent="0.2">
      <c r="A14" t="s">
        <v>50</v>
      </c>
    </row>
    <row r="15" spans="1:9" x14ac:dyDescent="0.2">
      <c r="A15" t="s">
        <v>51</v>
      </c>
    </row>
    <row r="16" spans="1:9" x14ac:dyDescent="0.2">
      <c r="A16" t="s">
        <v>52</v>
      </c>
    </row>
    <row r="17" spans="1:8" x14ac:dyDescent="0.2">
      <c r="A17" t="s">
        <v>53</v>
      </c>
    </row>
    <row r="18" spans="1:8" x14ac:dyDescent="0.2">
      <c r="A18" t="s">
        <v>54</v>
      </c>
    </row>
    <row r="20" spans="1:8" x14ac:dyDescent="0.2">
      <c r="A20" t="s">
        <v>17</v>
      </c>
      <c r="B20" s="33" t="s">
        <v>75</v>
      </c>
    </row>
    <row r="21" spans="1:8" x14ac:dyDescent="0.2">
      <c r="A21" t="s">
        <v>18</v>
      </c>
      <c r="B21" s="5" t="s">
        <v>74</v>
      </c>
    </row>
    <row r="22" spans="1:8" x14ac:dyDescent="0.2">
      <c r="A22" t="s">
        <v>23</v>
      </c>
      <c r="B22" t="s">
        <v>67</v>
      </c>
      <c r="F22" t="s">
        <v>79</v>
      </c>
      <c r="G22" t="s">
        <v>28</v>
      </c>
      <c r="H22" s="32">
        <v>1200</v>
      </c>
    </row>
    <row r="23" spans="1:8" x14ac:dyDescent="0.2">
      <c r="F23" t="s">
        <v>80</v>
      </c>
      <c r="G23" t="s">
        <v>28</v>
      </c>
      <c r="H23" s="32">
        <v>900</v>
      </c>
    </row>
    <row r="24" spans="1:8" x14ac:dyDescent="0.2">
      <c r="A24" s="20"/>
      <c r="B24" t="s">
        <v>78</v>
      </c>
      <c r="F24" t="s">
        <v>81</v>
      </c>
      <c r="G24" t="s">
        <v>28</v>
      </c>
      <c r="H24" s="32">
        <v>1500</v>
      </c>
    </row>
    <row r="25" spans="1:8" x14ac:dyDescent="0.2">
      <c r="B25" t="s">
        <v>76</v>
      </c>
      <c r="F25" t="s">
        <v>82</v>
      </c>
      <c r="G25" t="s">
        <v>28</v>
      </c>
      <c r="H25" s="32">
        <v>70000000</v>
      </c>
    </row>
    <row r="26" spans="1:8" x14ac:dyDescent="0.2">
      <c r="B26" t="s">
        <v>83</v>
      </c>
    </row>
    <row r="27" spans="1:8" x14ac:dyDescent="0.2">
      <c r="A27" t="s">
        <v>41</v>
      </c>
      <c r="B27" t="s">
        <v>66</v>
      </c>
    </row>
  </sheetData>
  <mergeCells count="1">
    <mergeCell ref="A1:F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E2B76-9058-D744-B010-EE18CFA196BF}">
  <dimension ref="A1:K19"/>
  <sheetViews>
    <sheetView zoomScale="160" zoomScaleNormal="160" workbookViewId="0">
      <selection activeCell="E17" sqref="E17"/>
    </sheetView>
  </sheetViews>
  <sheetFormatPr baseColWidth="10" defaultRowHeight="15" x14ac:dyDescent="0.2"/>
  <cols>
    <col min="1" max="1" width="13.1640625" bestFit="1" customWidth="1"/>
  </cols>
  <sheetData>
    <row r="1" spans="1:11" ht="54" customHeight="1" x14ac:dyDescent="0.2">
      <c r="A1" s="29" t="s">
        <v>93</v>
      </c>
      <c r="B1" s="29"/>
      <c r="C1" s="29"/>
      <c r="D1" s="29"/>
      <c r="E1" s="29"/>
      <c r="F1" s="29"/>
      <c r="G1" s="29"/>
      <c r="H1" s="29"/>
      <c r="I1" s="29"/>
      <c r="J1" s="29"/>
      <c r="K1" s="29"/>
    </row>
    <row r="2" spans="1:11" x14ac:dyDescent="0.2">
      <c r="A2" s="1" t="s">
        <v>84</v>
      </c>
      <c r="B2" s="1" t="s">
        <v>85</v>
      </c>
      <c r="C2" s="1" t="s">
        <v>86</v>
      </c>
      <c r="D2" s="1" t="s">
        <v>87</v>
      </c>
      <c r="E2" s="1" t="s">
        <v>88</v>
      </c>
      <c r="H2" s="1" t="s">
        <v>73</v>
      </c>
      <c r="I2">
        <f>SUMPRODUCT(B3:E6,B9:E12)</f>
        <v>26</v>
      </c>
    </row>
    <row r="3" spans="1:11" x14ac:dyDescent="0.2">
      <c r="A3" t="s">
        <v>89</v>
      </c>
      <c r="B3">
        <v>8</v>
      </c>
      <c r="C3">
        <v>6</v>
      </c>
      <c r="D3">
        <v>10</v>
      </c>
      <c r="E3">
        <v>9</v>
      </c>
    </row>
    <row r="4" spans="1:11" x14ac:dyDescent="0.2">
      <c r="A4" t="s">
        <v>90</v>
      </c>
      <c r="B4">
        <v>9</v>
      </c>
      <c r="C4">
        <v>12</v>
      </c>
      <c r="D4">
        <v>7</v>
      </c>
      <c r="E4">
        <v>8</v>
      </c>
    </row>
    <row r="5" spans="1:11" x14ac:dyDescent="0.2">
      <c r="A5" t="s">
        <v>91</v>
      </c>
      <c r="B5">
        <v>7</v>
      </c>
      <c r="C5">
        <v>9</v>
      </c>
      <c r="D5">
        <v>11</v>
      </c>
      <c r="E5">
        <v>10</v>
      </c>
    </row>
    <row r="6" spans="1:11" x14ac:dyDescent="0.2">
      <c r="A6" t="s">
        <v>92</v>
      </c>
      <c r="B6">
        <v>10</v>
      </c>
      <c r="C6">
        <v>8</v>
      </c>
      <c r="D6">
        <v>9</v>
      </c>
      <c r="E6">
        <v>6</v>
      </c>
    </row>
    <row r="7" spans="1:11" x14ac:dyDescent="0.2">
      <c r="A7" t="s">
        <v>94</v>
      </c>
    </row>
    <row r="8" spans="1:11" x14ac:dyDescent="0.2">
      <c r="A8" s="1" t="s">
        <v>84</v>
      </c>
      <c r="B8" s="1" t="s">
        <v>85</v>
      </c>
      <c r="C8" s="1" t="s">
        <v>86</v>
      </c>
      <c r="D8" s="1" t="s">
        <v>87</v>
      </c>
      <c r="E8" s="1" t="s">
        <v>88</v>
      </c>
      <c r="F8" s="1" t="s">
        <v>95</v>
      </c>
    </row>
    <row r="9" spans="1:11" x14ac:dyDescent="0.2">
      <c r="A9" t="s">
        <v>89</v>
      </c>
      <c r="B9">
        <v>0</v>
      </c>
      <c r="C9">
        <v>1</v>
      </c>
      <c r="D9">
        <v>0</v>
      </c>
      <c r="E9">
        <v>0</v>
      </c>
      <c r="F9">
        <f>SUM(B9:E9)</f>
        <v>1</v>
      </c>
    </row>
    <row r="10" spans="1:11" x14ac:dyDescent="0.2">
      <c r="A10" t="s">
        <v>90</v>
      </c>
      <c r="B10">
        <v>0</v>
      </c>
      <c r="C10">
        <v>0</v>
      </c>
      <c r="D10">
        <v>1</v>
      </c>
      <c r="E10">
        <v>0</v>
      </c>
      <c r="F10">
        <f t="shared" ref="F10:F12" si="0">SUM(B10:E10)</f>
        <v>1</v>
      </c>
    </row>
    <row r="11" spans="1:11" x14ac:dyDescent="0.2">
      <c r="A11" t="s">
        <v>91</v>
      </c>
      <c r="B11">
        <v>1</v>
      </c>
      <c r="C11">
        <v>0</v>
      </c>
      <c r="D11">
        <v>0</v>
      </c>
      <c r="E11">
        <v>0</v>
      </c>
      <c r="F11">
        <f t="shared" si="0"/>
        <v>1</v>
      </c>
    </row>
    <row r="12" spans="1:11" x14ac:dyDescent="0.2">
      <c r="A12" t="s">
        <v>92</v>
      </c>
      <c r="B12">
        <v>0</v>
      </c>
      <c r="C12">
        <v>0</v>
      </c>
      <c r="D12">
        <v>0</v>
      </c>
      <c r="E12">
        <v>1</v>
      </c>
      <c r="F12">
        <f t="shared" si="0"/>
        <v>1</v>
      </c>
    </row>
    <row r="13" spans="1:11" x14ac:dyDescent="0.2">
      <c r="A13" s="1" t="s">
        <v>96</v>
      </c>
      <c r="B13">
        <f>SUM(B9:B12)</f>
        <v>1</v>
      </c>
      <c r="C13">
        <f t="shared" ref="C13:E13" si="1">SUM(C9:C12)</f>
        <v>1</v>
      </c>
      <c r="D13">
        <f t="shared" si="1"/>
        <v>1</v>
      </c>
      <c r="E13">
        <f t="shared" si="1"/>
        <v>1</v>
      </c>
    </row>
    <row r="15" spans="1:11" x14ac:dyDescent="0.2">
      <c r="A15" t="s">
        <v>18</v>
      </c>
      <c r="B15" t="s">
        <v>73</v>
      </c>
    </row>
    <row r="16" spans="1:11" x14ac:dyDescent="0.2">
      <c r="A16" t="s">
        <v>17</v>
      </c>
      <c r="B16" t="s">
        <v>98</v>
      </c>
    </row>
    <row r="17" spans="1:2" x14ac:dyDescent="0.2">
      <c r="A17" t="s">
        <v>23</v>
      </c>
      <c r="B17" t="s">
        <v>99</v>
      </c>
    </row>
    <row r="18" spans="1:2" x14ac:dyDescent="0.2">
      <c r="B18" t="s">
        <v>100</v>
      </c>
    </row>
    <row r="19" spans="1:2" x14ac:dyDescent="0.2">
      <c r="A19" t="s">
        <v>41</v>
      </c>
      <c r="B19" t="s">
        <v>97</v>
      </c>
    </row>
  </sheetData>
  <mergeCells count="1">
    <mergeCell ref="A1:K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8D767-EE02-6D45-A857-FD8D7B90E7A3}">
  <dimension ref="A1:I15"/>
  <sheetViews>
    <sheetView tabSelected="1" zoomScale="163" zoomScaleNormal="163" workbookViewId="0">
      <selection activeCell="B12" sqref="B12:D12"/>
    </sheetView>
  </sheetViews>
  <sheetFormatPr baseColWidth="10" defaultRowHeight="15" x14ac:dyDescent="0.2"/>
  <cols>
    <col min="1" max="1" width="20" customWidth="1"/>
    <col min="5" max="5" width="15.33203125" bestFit="1" customWidth="1"/>
    <col min="7" max="7" width="13" bestFit="1" customWidth="1"/>
  </cols>
  <sheetData>
    <row r="1" spans="1:9" x14ac:dyDescent="0.2">
      <c r="A1" t="s">
        <v>101</v>
      </c>
      <c r="G1" t="s">
        <v>17</v>
      </c>
      <c r="H1" t="s">
        <v>110</v>
      </c>
    </row>
    <row r="2" spans="1:9" x14ac:dyDescent="0.2">
      <c r="A2" s="1"/>
      <c r="B2" s="1" t="s">
        <v>102</v>
      </c>
      <c r="C2" s="1" t="s">
        <v>103</v>
      </c>
      <c r="D2" s="1" t="s">
        <v>104</v>
      </c>
      <c r="E2" s="1" t="s">
        <v>105</v>
      </c>
      <c r="G2" s="36" t="s">
        <v>18</v>
      </c>
      <c r="H2" s="36" t="s">
        <v>73</v>
      </c>
      <c r="I2" s="36" t="s">
        <v>113</v>
      </c>
    </row>
    <row r="3" spans="1:9" x14ac:dyDescent="0.2">
      <c r="A3" t="s">
        <v>106</v>
      </c>
      <c r="B3">
        <v>4</v>
      </c>
      <c r="C3">
        <v>6</v>
      </c>
      <c r="D3">
        <v>8</v>
      </c>
      <c r="E3">
        <v>100</v>
      </c>
      <c r="G3" t="s">
        <v>23</v>
      </c>
      <c r="H3" t="s">
        <v>112</v>
      </c>
    </row>
    <row r="4" spans="1:9" x14ac:dyDescent="0.2">
      <c r="A4" t="s">
        <v>107</v>
      </c>
      <c r="B4">
        <v>5</v>
      </c>
      <c r="C4">
        <v>4</v>
      </c>
      <c r="D4">
        <v>3</v>
      </c>
      <c r="E4">
        <v>150</v>
      </c>
      <c r="H4" t="s">
        <v>111</v>
      </c>
    </row>
    <row r="5" spans="1:9" x14ac:dyDescent="0.2">
      <c r="A5" s="1" t="s">
        <v>108</v>
      </c>
      <c r="B5" s="1">
        <v>80</v>
      </c>
      <c r="C5" s="1">
        <v>70</v>
      </c>
      <c r="D5" s="1">
        <v>100</v>
      </c>
    </row>
    <row r="6" spans="1:9" x14ac:dyDescent="0.2">
      <c r="A6" t="s">
        <v>109</v>
      </c>
    </row>
    <row r="8" spans="1:9" x14ac:dyDescent="0.2">
      <c r="A8" s="1" t="s">
        <v>114</v>
      </c>
    </row>
    <row r="9" spans="1:9" x14ac:dyDescent="0.2">
      <c r="A9" s="1"/>
      <c r="B9" s="1" t="s">
        <v>102</v>
      </c>
      <c r="C9" s="1" t="s">
        <v>103</v>
      </c>
      <c r="D9" s="1" t="s">
        <v>104</v>
      </c>
      <c r="E9" s="1" t="s">
        <v>115</v>
      </c>
    </row>
    <row r="10" spans="1:9" x14ac:dyDescent="0.2">
      <c r="A10" t="s">
        <v>106</v>
      </c>
      <c r="B10">
        <v>0</v>
      </c>
      <c r="C10">
        <v>0</v>
      </c>
      <c r="D10">
        <v>0</v>
      </c>
      <c r="E10">
        <f>SUM(B10:D10)</f>
        <v>0</v>
      </c>
      <c r="F10" t="s">
        <v>28</v>
      </c>
      <c r="G10">
        <v>100</v>
      </c>
    </row>
    <row r="11" spans="1:9" x14ac:dyDescent="0.2">
      <c r="A11" t="s">
        <v>107</v>
      </c>
      <c r="B11">
        <v>0</v>
      </c>
      <c r="C11">
        <v>0</v>
      </c>
      <c r="D11">
        <v>0</v>
      </c>
      <c r="E11">
        <f>SUM(B11:D11)</f>
        <v>0</v>
      </c>
      <c r="F11" t="s">
        <v>28</v>
      </c>
      <c r="G11">
        <v>150</v>
      </c>
    </row>
    <row r="12" spans="1:9" x14ac:dyDescent="0.2">
      <c r="A12" t="s">
        <v>116</v>
      </c>
      <c r="B12">
        <f>SUM(B10:B11)</f>
        <v>0</v>
      </c>
      <c r="C12">
        <f t="shared" ref="C12:D12" si="0">SUM(C10:C11)</f>
        <v>0</v>
      </c>
      <c r="D12">
        <f t="shared" si="0"/>
        <v>0</v>
      </c>
    </row>
    <row r="13" spans="1:9" x14ac:dyDescent="0.2">
      <c r="B13" t="s">
        <v>117</v>
      </c>
      <c r="C13" t="s">
        <v>118</v>
      </c>
      <c r="D13" t="s">
        <v>119</v>
      </c>
    </row>
    <row r="15" spans="1:9" x14ac:dyDescent="0.2">
      <c r="A15" t="s">
        <v>73</v>
      </c>
      <c r="B15" s="3">
        <f>SUMPRODUCT(B3:D4,B10:D11)</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Solver</vt:lpstr>
      <vt:lpstr>Demo1</vt:lpstr>
      <vt:lpstr>Demo2</vt:lpstr>
      <vt:lpstr>Demo3</vt:lpstr>
      <vt:lpstr>Demo4</vt:lpstr>
      <vt:lpstr>Demo5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Vũ Thị Mỹ Hằng</cp:lastModifiedBy>
  <dcterms:created xsi:type="dcterms:W3CDTF">2025-10-03T15:17:25Z</dcterms:created>
  <dcterms:modified xsi:type="dcterms:W3CDTF">2026-09-15T14:42:30Z</dcterms:modified>
</cp:coreProperties>
</file>