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719"/>
  <workbookPr defaultThemeVersion="166925"/>
  <mc:AlternateContent xmlns:mc="http://schemas.openxmlformats.org/markup-compatibility/2006">
    <mc:Choice Requires="x15">
      <x15ac:absPath xmlns:x15ac="http://schemas.microsoft.com/office/spreadsheetml/2010/11/ac" url="/Users/thimyhangvu/Desktop/SAP_XEP/2_GIANG_DAY/TL_HCMUS/CH_HHTRQD/BAI_TAP/"/>
    </mc:Choice>
  </mc:AlternateContent>
  <xr:revisionPtr revIDLastSave="0" documentId="13_ncr:1_{38D0FAC3-3834-4C4A-B796-F0D9A71F601C}" xr6:coauthVersionLast="47" xr6:coauthVersionMax="47" xr10:uidLastSave="{00000000-0000-0000-0000-000000000000}"/>
  <bookViews>
    <workbookView xWindow="0" yWindow="600" windowWidth="28800" windowHeight="16400" activeTab="1" xr2:uid="{C825CD57-130C-5F4E-8645-CC039A3ED4BD}"/>
  </bookViews>
  <sheets>
    <sheet name="Scenario Summary" sheetId="47" r:id="rId1"/>
    <sheet name="Demo 1" sheetId="15" r:id="rId2"/>
    <sheet name="Demo 2" sheetId="14" r:id="rId3"/>
    <sheet name="Demo 3" sheetId="46" r:id="rId4"/>
    <sheet name="Demo 3_Result" sheetId="55" r:id="rId5"/>
    <sheet name="Demo 4" sheetId="54" r:id="rId6"/>
    <sheet name="Practice" sheetId="40" r:id="rId7"/>
  </sheets>
  <definedNames>
    <definedName name="BienDoiCPBD">'Demo 2'!$B$6</definedName>
    <definedName name="BienDoiCPCD">'Demo 2'!$B$8</definedName>
    <definedName name="BienDoiDS">'Demo 2'!$B$7</definedName>
    <definedName name="BienDoiSP">'Demo 2'!$B$5</definedName>
    <definedName name="ChiPhiBD">'Demo 2'!$B$4</definedName>
    <definedName name="ChiPhiCD">'Demo 2'!$B$3</definedName>
    <definedName name="ChiPhiHT">'Demo 2'!$B$10</definedName>
    <definedName name="ChiPhiMoi">'Demo 2'!#REF!</definedName>
    <definedName name="DoanhSo">'Demo 2'!$B$1</definedName>
    <definedName name="DoanhThuHT">'Demo 2'!$B$9</definedName>
    <definedName name="DoanhThuMoi">'Demo 2'!#REF!</definedName>
    <definedName name="DonGia">'Demo 2'!$B$2</definedName>
    <definedName name="KhoanThanhToan">'Demo 1'!$B$4</definedName>
    <definedName name="KhoanVay">'Demo 1'!$B$1</definedName>
    <definedName name="LaiSuat">'Demo 1'!$B$3</definedName>
    <definedName name="LoiNhuan">'Demo 2'!$B$4</definedName>
    <definedName name="LoiNhuanHT">'Demo 2'!$B$11</definedName>
    <definedName name="LoiNhuanMoi">'Demo 2'!#REF!</definedName>
    <definedName name="solver_adj" localSheetId="2" hidden="1">'Demo 2'!$B$3,'Demo 2'!$B$2</definedName>
    <definedName name="solver_eng" localSheetId="2" hidden="1">1</definedName>
    <definedName name="solver_itr" localSheetId="2" hidden="1">2147483647</definedName>
    <definedName name="solver_lin" localSheetId="2" hidden="1">2</definedName>
    <definedName name="solver_neg" localSheetId="2" hidden="1">1</definedName>
    <definedName name="solver_num" localSheetId="2" hidden="1">0</definedName>
    <definedName name="solver_opt" localSheetId="2" hidden="1">'Demo 2'!$B$11</definedName>
    <definedName name="solver_tim" localSheetId="2" hidden="1">2147483647</definedName>
    <definedName name="solver_typ" localSheetId="2" hidden="1">1</definedName>
    <definedName name="solver_val" localSheetId="2" hidden="1">0</definedName>
    <definedName name="solver_ver" localSheetId="2" hidden="1">2</definedName>
    <definedName name="TongKyHan">'Demo 1'!$B$2</definedName>
  </definedNames>
  <calcPr calcId="191029" calcMode="manual"/>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Q2" i="46" l="1" a="1"/>
  <c r="Q2" i="46" s="1"/>
  <c r="N5" i="46" a="1"/>
  <c r="N5" i="46" s="1"/>
  <c r="N4" i="46" a="1"/>
  <c r="N4" i="46" s="1"/>
  <c r="N3" i="46" a="1"/>
  <c r="N3" i="46" s="1"/>
  <c r="N2" i="46" a="1"/>
  <c r="N2" i="46" s="1"/>
  <c r="M5" i="46"/>
  <c r="M4" i="46"/>
  <c r="M3" i="46"/>
  <c r="M2" i="46"/>
  <c r="L5" i="46"/>
  <c r="L4" i="46"/>
  <c r="L3" i="46"/>
  <c r="L2" i="46"/>
  <c r="K2" i="46"/>
  <c r="K3" i="46"/>
  <c r="K4" i="46"/>
  <c r="K5" i="46"/>
  <c r="C15" i="40"/>
  <c r="C17" i="40" s="1"/>
  <c r="A3" i="40"/>
  <c r="H8" i="40"/>
  <c r="H5" i="40"/>
  <c r="B4" i="15"/>
  <c r="B7" i="15" s="1"/>
  <c r="B57" i="15"/>
  <c r="B50" i="15"/>
  <c r="E54" i="14"/>
  <c r="F56" i="14"/>
  <c r="H56" i="14"/>
  <c r="F57" i="14"/>
  <c r="H57" i="14"/>
  <c r="F58" i="14"/>
  <c r="H58" i="14"/>
  <c r="E43" i="14"/>
  <c r="E44" i="14"/>
  <c r="E34" i="14"/>
  <c r="E33" i="14"/>
  <c r="E13" i="14"/>
  <c r="E24" i="14"/>
  <c r="E2" i="14"/>
  <c r="B10" i="14"/>
  <c r="E3" i="14" s="1"/>
  <c r="B9" i="14"/>
  <c r="E23" i="14" s="1"/>
  <c r="B19" i="15"/>
  <c r="C19" i="15" s="1"/>
  <c r="D19" i="15" s="1"/>
  <c r="E19" i="15" s="1"/>
  <c r="F19" i="15" s="1"/>
  <c r="G19" i="15" s="1"/>
  <c r="B25" i="15"/>
  <c r="B26" i="15" s="1"/>
  <c r="B27" i="15" s="1"/>
  <c r="B28" i="15" s="1"/>
  <c r="B29" i="15" s="1"/>
  <c r="B30" i="15" s="1"/>
  <c r="B31" i="15" s="1"/>
  <c r="B32" i="15" s="1"/>
  <c r="B33" i="15" s="1"/>
  <c r="D24" i="15"/>
  <c r="E24" i="15" s="1"/>
  <c r="F24" i="15" s="1"/>
  <c r="G24" i="15" s="1"/>
  <c r="H24" i="15" s="1"/>
  <c r="A8" i="15"/>
  <c r="A9" i="15" s="1"/>
  <c r="A10" i="15" s="1"/>
  <c r="A11" i="15" s="1"/>
  <c r="A12" i="15" s="1"/>
  <c r="A13" i="15" s="1"/>
  <c r="A14" i="15" s="1"/>
  <c r="A15" i="15" s="1"/>
  <c r="A16" i="15" s="1"/>
  <c r="D26" i="14" l="1"/>
  <c r="A36" i="15"/>
  <c r="D46" i="14"/>
  <c r="D36" i="14"/>
  <c r="E14" i="14"/>
  <c r="D16" i="14" s="1"/>
  <c r="E4" i="14"/>
  <c r="B11" i="14"/>
  <c r="E53" i="14" s="1"/>
  <c r="A20" i="15"/>
  <c r="B24" i="15"/>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<sst xmlns="http://schemas.openxmlformats.org/spreadsheetml/2006/main" count="421" uniqueCount="337">
  <si>
    <t>Tăng doanh số</t>
  </si>
  <si>
    <t>% tăng doanh số</t>
  </si>
  <si>
    <t>% giảm giá</t>
  </si>
  <si>
    <t>Lãi suất</t>
  </si>
  <si>
    <t>Khoản vay (VND)</t>
  </si>
  <si>
    <t>Lãi suất (%)</t>
  </si>
  <si>
    <t>Khoản thanh toán hàng tháng</t>
  </si>
  <si>
    <t>(Biến độc lập X1)</t>
  </si>
  <si>
    <t>(Biến độc lập X2)</t>
  </si>
  <si>
    <t>(Biến độc lập X3)</t>
  </si>
  <si>
    <t>(Biến phụ thuộc Y = -PMT(X3/12, X2, X1)</t>
  </si>
  <si>
    <t>Kỳ hạn vay (tháng)</t>
  </si>
  <si>
    <t>Khoản thanh toán</t>
  </si>
  <si>
    <t>Kỳ hạn</t>
  </si>
  <si>
    <t>Kỳ hạn vay (Tháng)</t>
  </si>
  <si>
    <t>Chí phí biến đổi (cho 1 sản phẩm)</t>
  </si>
  <si>
    <t>Tổng doanh thu mới</t>
  </si>
  <si>
    <t>Tổng chi phí mới</t>
  </si>
  <si>
    <t>Đơn giá (hiện tại)</t>
  </si>
  <si>
    <t>Chi phí cố định (hiện tại)</t>
  </si>
  <si>
    <t>Tổng chi phí (không đổi)</t>
  </si>
  <si>
    <t>B1: Lập bảng quan sát có cột 1 (D5:D8) là % tăng doanh số</t>
  </si>
  <si>
    <t>B2: Thiết lập công thức cho biến phụ thuộc cần quan sát (lợi nhuận mới) ở E4</t>
  </si>
  <si>
    <t>B3: Chọn What-If cho Data Table D4:E8</t>
  </si>
  <si>
    <t>B4: Chọn biến độc lập thay đổi B7 (BienDoiDS) cho ô Column input cell</t>
  </si>
  <si>
    <t>B5: Quan sát thay đổi lợi nhuận ứng với các giá trị khác nhau của BienDoiDS</t>
  </si>
  <si>
    <t>B2: Thiết lập công thức cho biến phụ thuộc cần quan sát (lợi nhuận mới) ở D16</t>
  </si>
  <si>
    <t xml:space="preserve">B1: Lập bảng quan sát có cột 1 (D17:D20) là Tỉ lệ tăng doanh số và các cột E16, F16, G16, H16, I16 là Tỉ lệ giảm giá bán hàng </t>
  </si>
  <si>
    <t>B3: Chọn What-If cho Data Table D16:I20</t>
  </si>
  <si>
    <t>B4: Chọn các biến độc lập thay đổi B7 (BienDoiDS) cho ô Column input cell và B5 (BienDoiSP) cho Row input cell</t>
  </si>
  <si>
    <t>B5: Quan sát thay đổi lợi nhuận ứng với các giá trị khác nhau của BienDoiDS và BienDoiSP</t>
  </si>
  <si>
    <t>Tổng doanh thu (không đổi)</t>
  </si>
  <si>
    <t>% tăng chi phí cố định</t>
  </si>
  <si>
    <t>% giảm chi phí biến đổi</t>
  </si>
  <si>
    <t>c) Giả sử chi phí cố định tăng 20%, cần giảm chi phí biến đổi thế nào để giữ lợi nhuận hiện tại?</t>
  </si>
  <si>
    <t>d) Giả sử chi phí cố định tăng 20%, cần tăng doanh số thế nào để giữ lợi nhuận hiện tại?</t>
  </si>
  <si>
    <t>Tỉ lệ tăng/giảm giá sản phẩm</t>
  </si>
  <si>
    <t>Mức tăng/giảm chi phí biến đổi</t>
  </si>
  <si>
    <t>Tỉ lệ tăng/giảm doanh số</t>
  </si>
  <si>
    <t>Mức tăng/giảm chi phí cố định</t>
  </si>
  <si>
    <t>Tổng chi phí hiện tại</t>
  </si>
  <si>
    <t>Tổng lợi nhuận hiện tại</t>
  </si>
  <si>
    <t>a) Quan sát biến động doanh số lên lợi nhuận</t>
  </si>
  <si>
    <t>b) Quan sát biến động (doanh số, giá thành) lên lợi nhuận</t>
  </si>
  <si>
    <t>% tăng đơn giá sản phẩm</t>
  </si>
  <si>
    <t>KhoanVay</t>
  </si>
  <si>
    <t>TongKyHan</t>
  </si>
  <si>
    <t>LaiSuat</t>
  </si>
  <si>
    <t>$A$36</t>
  </si>
  <si>
    <t>Kich_ban_vay_1</t>
  </si>
  <si>
    <t>Kich_ban_vay_2</t>
  </si>
  <si>
    <t>Kich_ban_vay_3</t>
  </si>
  <si>
    <t>Kich_ban_vay_4</t>
  </si>
  <si>
    <t>Kich_ban_vay_5</t>
  </si>
  <si>
    <t>Scenario Summary</t>
  </si>
  <si>
    <t>Changing Cells:</t>
  </si>
  <si>
    <t>Current Values:</t>
  </si>
  <si>
    <t>Result Cells:</t>
  </si>
  <si>
    <t>e) Giả sử chi phí cố định tăng 20%, cần tăng giá thành sản phẩm thế nào để giữ lợi nhuận hiện tại?</t>
  </si>
  <si>
    <t>Lợi nhuận hiện tại</t>
  </si>
  <si>
    <t>Kịch bản trung bình</t>
  </si>
  <si>
    <t>Kịch bản xấu nhất</t>
  </si>
  <si>
    <t>Kịch bản tốt nhất</t>
  </si>
  <si>
    <t>Giảm CPBD</t>
  </si>
  <si>
    <t>Doanh số theo tháng (hiện tại)</t>
  </si>
  <si>
    <t>Tổng doanh thu hiện tại (theo tháng)</t>
  </si>
  <si>
    <t>e) Công ty đang cân nhắc đầu tư hệ thống máy móc mới với kinh phí 80.000.000, hệ thống mới này có thể giúp giảm chi phí biến đổi từ 10%-20% và giúp tăng sản phẩm nhằm đáp ứng nhu cầu thị trường được dự kiến là tăng doanh số từ 20%-40%. Sử dụng Scenario Manager để xem thử lợi nhuận đạt được của công ty trong trường hợp: Tốt nhất, Xấu nhất, Trung bình.</t>
  </si>
  <si>
    <t>Chi phí cố định mới</t>
  </si>
  <si>
    <r>
      <t xml:space="preserve">c) Sử dụng công cụ What-If Analysis để so sánh ảnh hưởng của lãi suất và thời gian vay lên khoản thanh toán hàng tháng với bước nhảy của lãi suất là 1% mỗi lần điều chỉnh và không vượt quá 13% và thời gian vay giao động từ 60 đến 120 tháng (bước nhảy/độ thay đổi là 1 năm).
</t>
    </r>
    <r>
      <rPr>
        <b/>
        <u/>
        <sz val="12"/>
        <color rgb="FF008F00"/>
        <rFont val="Calibri (Body)"/>
      </rPr>
      <t>Hướng dẫn</t>
    </r>
    <r>
      <rPr>
        <b/>
        <sz val="12"/>
        <color rgb="FF008F00"/>
        <rFont val="Calibri"/>
        <family val="2"/>
        <scheme val="minor"/>
      </rPr>
      <t xml:space="preserve">: (2 biến độc lập đặt trên 1 dòng &amp; cột)
</t>
    </r>
    <r>
      <rPr>
        <sz val="12"/>
        <color rgb="FF008F00"/>
        <rFont val="Calibri"/>
        <family val="2"/>
        <scheme val="minor"/>
      </rPr>
      <t>B1: Lập bảng quan sát có: 
       - Dòng 19 (C24:H24) là các mốc kỳ hạn cho vay (tháng) từ 5 đến 10 năm với bước nhảy theo từng năm
       - Cột B (B25:B33) là các mức lãi suất dự kiến từ 5% đến 13% với bước nhảy 1% mỗi lần điều chỉnh
B2: Thiết lập công thức tính biến phụ thuộc cần quan sát (lợi nhuận mới) ở B24 (=B4)
B3: Chọn vùng dữ liệu (Data Table) B24:H33
B4: Chọn Data =&gt; What-If Analysis =&gt; Data Table cho vùng dữ liệu đang chọn
B5: Row input cell: biến độc lập đặt trên dòng (B2: Kỳ hạn vay); Column input cell: biến độc lập đặt trên cột (B3: Lãi suất)
B6: Quan sát sự thay đổi khoản thanh toán định kỳ (tháng) và khi thời hạn và lãi suất biến thiên</t>
    </r>
  </si>
  <si>
    <r>
      <t xml:space="preserve">d) Sử dụng công cụ Scenario để phân tích các tình huống khác nhau khi có sự thay đổi về lãi suất, thời hạn và khoản vay ban đầu thì khách hàng phải trả chi phí hàng tháng ra sao.
</t>
    </r>
    <r>
      <rPr>
        <b/>
        <u/>
        <sz val="12"/>
        <color rgb="FF008F00"/>
        <rFont val="Calibri (Body)"/>
      </rPr>
      <t>Hướng dẫn</t>
    </r>
    <r>
      <rPr>
        <b/>
        <sz val="12"/>
        <color rgb="FF008F00"/>
        <rFont val="Calibri"/>
        <family val="2"/>
        <scheme val="minor"/>
      </rPr>
      <t xml:space="preserve">: (Mỗi kịch bản là sự thay đổi của 3 biến lãi suất, khoản vay, kỳ hạn vay)
</t>
    </r>
    <r>
      <rPr>
        <sz val="12"/>
        <color rgb="FF008F00"/>
        <rFont val="Calibri"/>
        <family val="2"/>
        <scheme val="minor"/>
      </rPr>
      <t xml:space="preserve">B1: Chọn Data =&gt; What-If Analysis =&gt; Scenario Manager 
B2: Thêm các kịch bản (Scenario) khác nhau, mỗi kịch bản cần chọn các biến sẽ thay đổi (B1, B2, B3)
B3: Chọn Summary để phát sinh bản tóm tắt cho các kịch bản
</t>
    </r>
  </si>
  <si>
    <r>
      <t xml:space="preserve">f) Lãi suất ngân hàng cố định 8.5% và cho phép vay tối đa 10 năm, cho biết khoản vay tối đa có thể nếu khách hàng thanh toán được 25 triệu/tháng. 
</t>
    </r>
    <r>
      <rPr>
        <b/>
        <u/>
        <sz val="12"/>
        <color rgb="FF008F00"/>
        <rFont val="Calibri (Body)"/>
      </rPr>
      <t>Hướng dẫn</t>
    </r>
    <r>
      <rPr>
        <b/>
        <sz val="12"/>
        <color rgb="FF008F00"/>
        <rFont val="Calibri"/>
        <family val="2"/>
        <scheme val="minor"/>
      </rPr>
      <t xml:space="preserve">: (Tìm kiếm mục tiêu "khoản thanh toán hàng tháng" tối đa 25 triệu với các giá trị khác nhau của biến đầu vào "kỳ hạn vay")
</t>
    </r>
    <r>
      <rPr>
        <sz val="12"/>
        <color rgb="FF008F00"/>
        <rFont val="Calibri"/>
        <family val="2"/>
        <scheme val="minor"/>
      </rPr>
      <t>B1: Chọn Data =&gt; What-If Analysis =&gt; Goal Seek
B2: Thiết lập biến mục tiêu "Khoản thanh toán hàng tháng" là 25 triệu 
       Set cell: B57 
       To value: 25,000,000.00
B3: Chọn biến đầu vào cần thay đổi "Khoản vay"
       By changing cell: B54</t>
    </r>
  </si>
  <si>
    <t>Mục tiêu (Set cell, To value)</t>
  </si>
  <si>
    <t>Biến thay đổi (By changing cell)</t>
  </si>
  <si>
    <t>Biến cố định</t>
  </si>
  <si>
    <r>
      <t xml:space="preserve">a) Lãi suất cho vay có thể thay đổi theo thị trường nhưng không vượt quá 13%. Sử dụng công cụ What-If Analysis 
để so sánh ảnh hưởng của lãi suất lên khoản thanh toán hàng tháng với bước nhảy của lãi suất là 1% mỗi lần điều chỉnh. 
</t>
    </r>
    <r>
      <rPr>
        <b/>
        <u/>
        <sz val="12"/>
        <color rgb="FF008F00"/>
        <rFont val="Calibri (Body)"/>
      </rPr>
      <t xml:space="preserve">Hướng dẫn: </t>
    </r>
    <r>
      <rPr>
        <sz val="12"/>
        <color rgb="FF008F00"/>
        <rFont val="Calibri"/>
        <family val="2"/>
        <scheme val="minor"/>
      </rPr>
      <t>(</t>
    </r>
    <r>
      <rPr>
        <b/>
        <u/>
        <sz val="12"/>
        <color rgb="FF008F00"/>
        <rFont val="Calibri (Body)"/>
      </rPr>
      <t>Giá trị biến độc lập đặt trên 1 cộ</t>
    </r>
    <r>
      <rPr>
        <b/>
        <u/>
        <sz val="12"/>
        <color rgb="FF008F00"/>
        <rFont val="Calibri"/>
        <family val="2"/>
        <scheme val="minor"/>
      </rPr>
      <t>t</t>
    </r>
    <r>
      <rPr>
        <sz val="12"/>
        <color rgb="FF008F00"/>
        <rFont val="Calibri"/>
        <family val="2"/>
        <scheme val="minor"/>
      </rPr>
      <t xml:space="preserve">)
B1: Lập bảng quan sát có cột A (A8:A16) là lãi suất thay đổi dự kiến.
B2: Thiết lập công thức tính biến phụ thuộc cần quan sát (lợi nhuận mới) ở B7 (=B4)
B3: Chọn vùng dữ liệu (Data Table) A7:B16
B4: Chọn Data =&gt; What-If Analysis =&gt; Data Table cho vùng dữ liệu đang chọn
B5: </t>
    </r>
    <r>
      <rPr>
        <b/>
        <u/>
        <sz val="12"/>
        <color rgb="FF008F00"/>
        <rFont val="Calibri (Body)"/>
      </rPr>
      <t>Column</t>
    </r>
    <r>
      <rPr>
        <sz val="12"/>
        <color rgb="FF008F00"/>
        <rFont val="Calibri"/>
        <family val="2"/>
        <scheme val="minor"/>
      </rPr>
      <t xml:space="preserve"> input cell: Biến độc lập cần thay đổi (B3: Lãi suất)
B6: Quan sát sự thay đổi khoản thanh toán định kỳ (tháng) khi lãi suất điều chỉnh tăng 1% mỗi lần cho đến 13%</t>
    </r>
  </si>
  <si>
    <r>
      <t xml:space="preserve">b) Sử dụng công cụ What-If Analysis để so sánh ảnh hưởng của kỳ hạn cho vay lên khoản thanh toán hàng tháng với bước 
nhảy là 1 năm và kỳ hạn quy định từ 5 đến 10 năm 
</t>
    </r>
    <r>
      <rPr>
        <b/>
        <u/>
        <sz val="12"/>
        <color rgb="FF008F00"/>
        <rFont val="Calibri (Body)"/>
      </rPr>
      <t xml:space="preserve">Hướng dẫn: </t>
    </r>
    <r>
      <rPr>
        <sz val="12"/>
        <color rgb="FF008F00"/>
        <rFont val="Calibri"/>
        <family val="2"/>
        <scheme val="minor"/>
      </rPr>
      <t>(</t>
    </r>
    <r>
      <rPr>
        <b/>
        <u/>
        <sz val="12"/>
        <color rgb="FF008F00"/>
        <rFont val="Calibri (Body)"/>
      </rPr>
      <t>Giá trị biến độc lập đặt trên 1 dòng</t>
    </r>
    <r>
      <rPr>
        <sz val="12"/>
        <color rgb="FF008F00"/>
        <rFont val="Calibri"/>
        <family val="2"/>
        <scheme val="minor"/>
      </rPr>
      <t xml:space="preserve">)
B1: Lập bảng quan sát có dòng 19 (B19:G19) là các mốc kỳ hạn cho vay (tháng) từ 5 đến 10 năm.
B2: Thiết lập công thức tính biến phụ thuộc cần quan sát (lợi nhuận mới) ở A20 (=B4)
B3: Chọn vùng dữ liệu (Data Table) A19:G20
B4: Chọn Data =&gt; What-If Analysis =&gt; Data Table cho vùng dữ liệu đang chọn
B5: </t>
    </r>
    <r>
      <rPr>
        <b/>
        <u/>
        <sz val="12"/>
        <color rgb="FF008F00"/>
        <rFont val="Calibri (Body)"/>
      </rPr>
      <t>Row</t>
    </r>
    <r>
      <rPr>
        <sz val="12"/>
        <color rgb="FF008F00"/>
        <rFont val="Calibri"/>
        <family val="2"/>
        <scheme val="minor"/>
      </rPr>
      <t xml:space="preserve"> input cell: Biến độc lập cần thay đổi (B2: Kỳ hạn vay)
B6: Quan sát sự thay đổi khoản thanh toán định kỳ (tháng) khi thời hạn vay thay đổi với bước nhảy là 1 năm (12 tháng)</t>
    </r>
  </si>
  <si>
    <r>
      <t xml:space="preserve">e) Giả sử khách hàng cần vay 1,000,000,000.00 với lãi suất cố định 7%, kỳ hạn vay là bao lâu nếu khách hàng có thể chi trả tối đa 20 triệu/tháng.
</t>
    </r>
    <r>
      <rPr>
        <b/>
        <u/>
        <sz val="12"/>
        <color rgb="FF008F00"/>
        <rFont val="Calibri (Body)"/>
      </rPr>
      <t>Hướng dẫn</t>
    </r>
    <r>
      <rPr>
        <b/>
        <sz val="12"/>
        <color rgb="FF008F00"/>
        <rFont val="Calibri"/>
        <family val="2"/>
        <scheme val="minor"/>
      </rPr>
      <t xml:space="preserve">: (Tìm kiếm mục tiêu "khoản thanh toán hàng tháng" tối đa 25 triệu với các giá trị khác nhau của biến đầu vào "kỳ hạn vay")
</t>
    </r>
    <r>
      <rPr>
        <sz val="12"/>
        <color rgb="FF008F00"/>
        <rFont val="Calibri"/>
        <family val="2"/>
        <scheme val="minor"/>
      </rPr>
      <t xml:space="preserve">B1: Chọn Data =&gt; What-If Analysis =&gt; Goal Seek
B2: Thiết lập biến mục tiêu "Khoản thanh toán hàng tháng" là 25 triệu 
       Set cell: B50 
       To value: 20,000,000.00
B3: Chọn biến đầu vào cần thay đổi "Kỳ hạn vay"
       By changing cell: B48
</t>
    </r>
  </si>
  <si>
    <t>Created by Microsoft Office User on 2024-09-25
Modified by Microsoft Office User on 2024-09-25</t>
  </si>
  <si>
    <t>Created by Microsoft Office User on 2025-09-27</t>
  </si>
  <si>
    <t>Notes:  Current Values column represents values of changing cells at</t>
  </si>
  <si>
    <t>time Scenario Summary Report was created.  Changing cells for each</t>
  </si>
  <si>
    <t>scenario are highlighted in gray.</t>
  </si>
  <si>
    <t>Created by Microsoft Office User on 2024-09-25</t>
  </si>
  <si>
    <t>CarID</t>
  </si>
  <si>
    <t>CarModel</t>
  </si>
  <si>
    <t>EngineSize_L</t>
  </si>
  <si>
    <t>Horsepower_hp</t>
  </si>
  <si>
    <t>Weight_kg</t>
  </si>
  <si>
    <t>FuelConsumption_Lper100km</t>
  </si>
  <si>
    <t>Price_USD</t>
  </si>
  <si>
    <t>C001</t>
  </si>
  <si>
    <t>Model_001</t>
  </si>
  <si>
    <t>C002</t>
  </si>
  <si>
    <t>Model_002</t>
  </si>
  <si>
    <t>C003</t>
  </si>
  <si>
    <t>Model_003</t>
  </si>
  <si>
    <t>C004</t>
  </si>
  <si>
    <t>Model_004</t>
  </si>
  <si>
    <t>C005</t>
  </si>
  <si>
    <t>Model_005</t>
  </si>
  <si>
    <t>C006</t>
  </si>
  <si>
    <t>Model_006</t>
  </si>
  <si>
    <t>C007</t>
  </si>
  <si>
    <t>Model_007</t>
  </si>
  <si>
    <t>C008</t>
  </si>
  <si>
    <t>Model_008</t>
  </si>
  <si>
    <t>C009</t>
  </si>
  <si>
    <t>Model_009</t>
  </si>
  <si>
    <t>C010</t>
  </si>
  <si>
    <t>Model_010</t>
  </si>
  <si>
    <t>C011</t>
  </si>
  <si>
    <t>Model_011</t>
  </si>
  <si>
    <t>C012</t>
  </si>
  <si>
    <t>Model_012</t>
  </si>
  <si>
    <t>C013</t>
  </si>
  <si>
    <t>Model_013</t>
  </si>
  <si>
    <t>C014</t>
  </si>
  <si>
    <t>Model_014</t>
  </si>
  <si>
    <t>C015</t>
  </si>
  <si>
    <t>Model_015</t>
  </si>
  <si>
    <t>C016</t>
  </si>
  <si>
    <t>Model_016</t>
  </si>
  <si>
    <t>C017</t>
  </si>
  <si>
    <t>Model_017</t>
  </si>
  <si>
    <t>C018</t>
  </si>
  <si>
    <t>Model_018</t>
  </si>
  <si>
    <t>C019</t>
  </si>
  <si>
    <t>Model_019</t>
  </si>
  <si>
    <t>C020</t>
  </si>
  <si>
    <t>Model_020</t>
  </si>
  <si>
    <t>C021</t>
  </si>
  <si>
    <t>Model_021</t>
  </si>
  <si>
    <t>C022</t>
  </si>
  <si>
    <t>Model_022</t>
  </si>
  <si>
    <t>C023</t>
  </si>
  <si>
    <t>Model_023</t>
  </si>
  <si>
    <t>C024</t>
  </si>
  <si>
    <t>Model_024</t>
  </si>
  <si>
    <t>C025</t>
  </si>
  <si>
    <t>Model_025</t>
  </si>
  <si>
    <t>C026</t>
  </si>
  <si>
    <t>Model_026</t>
  </si>
  <si>
    <t>C027</t>
  </si>
  <si>
    <t>Model_027</t>
  </si>
  <si>
    <t>C028</t>
  </si>
  <si>
    <t>Model_028</t>
  </si>
  <si>
    <t>C029</t>
  </si>
  <si>
    <t>Model_029</t>
  </si>
  <si>
    <t>C030</t>
  </si>
  <si>
    <t>Model_030</t>
  </si>
  <si>
    <t>C031</t>
  </si>
  <si>
    <t>Model_031</t>
  </si>
  <si>
    <t>C032</t>
  </si>
  <si>
    <t>Model_032</t>
  </si>
  <si>
    <t>C033</t>
  </si>
  <si>
    <t>Model_033</t>
  </si>
  <si>
    <t>C034</t>
  </si>
  <si>
    <t>Model_034</t>
  </si>
  <si>
    <t>C035</t>
  </si>
  <si>
    <t>Model_035</t>
  </si>
  <si>
    <t>C036</t>
  </si>
  <si>
    <t>Model_036</t>
  </si>
  <si>
    <t>C037</t>
  </si>
  <si>
    <t>Model_037</t>
  </si>
  <si>
    <t>C038</t>
  </si>
  <si>
    <t>Model_038</t>
  </si>
  <si>
    <t>C039</t>
  </si>
  <si>
    <t>Model_039</t>
  </si>
  <si>
    <t>C040</t>
  </si>
  <si>
    <t>Model_040</t>
  </si>
  <si>
    <t>C041</t>
  </si>
  <si>
    <t>Model_041</t>
  </si>
  <si>
    <t>C042</t>
  </si>
  <si>
    <t>Model_042</t>
  </si>
  <si>
    <t>C043</t>
  </si>
  <si>
    <t>Model_043</t>
  </si>
  <si>
    <t>C044</t>
  </si>
  <si>
    <t>Model_044</t>
  </si>
  <si>
    <t>C045</t>
  </si>
  <si>
    <t>Model_045</t>
  </si>
  <si>
    <t>C046</t>
  </si>
  <si>
    <t>Model_046</t>
  </si>
  <si>
    <t>C047</t>
  </si>
  <si>
    <t>Model_047</t>
  </si>
  <si>
    <t>C048</t>
  </si>
  <si>
    <t>Model_048</t>
  </si>
  <si>
    <t>C049</t>
  </si>
  <si>
    <t>Model_049</t>
  </si>
  <si>
    <t>C050</t>
  </si>
  <si>
    <t>Model_050</t>
  </si>
  <si>
    <t>C051</t>
  </si>
  <si>
    <t>Model_051</t>
  </si>
  <si>
    <t>C052</t>
  </si>
  <si>
    <t>Model_052</t>
  </si>
  <si>
    <t>C053</t>
  </si>
  <si>
    <t>Model_053</t>
  </si>
  <si>
    <t>C054</t>
  </si>
  <si>
    <t>Model_054</t>
  </si>
  <si>
    <t>C055</t>
  </si>
  <si>
    <t>Model_055</t>
  </si>
  <si>
    <t>C056</t>
  </si>
  <si>
    <t>Model_056</t>
  </si>
  <si>
    <t>C057</t>
  </si>
  <si>
    <t>Model_057</t>
  </si>
  <si>
    <t>C058</t>
  </si>
  <si>
    <t>Model_058</t>
  </si>
  <si>
    <t>C059</t>
  </si>
  <si>
    <t>Model_059</t>
  </si>
  <si>
    <t>C060</t>
  </si>
  <si>
    <t>Model_060</t>
  </si>
  <si>
    <t>C061</t>
  </si>
  <si>
    <t>Model_061</t>
  </si>
  <si>
    <t>C062</t>
  </si>
  <si>
    <t>Model_062</t>
  </si>
  <si>
    <t>C063</t>
  </si>
  <si>
    <t>Model_063</t>
  </si>
  <si>
    <t>C064</t>
  </si>
  <si>
    <t>Model_064</t>
  </si>
  <si>
    <t>C065</t>
  </si>
  <si>
    <t>Model_065</t>
  </si>
  <si>
    <t>C066</t>
  </si>
  <si>
    <t>Model_066</t>
  </si>
  <si>
    <t>C067</t>
  </si>
  <si>
    <t>Model_067</t>
  </si>
  <si>
    <t>C068</t>
  </si>
  <si>
    <t>Model_068</t>
  </si>
  <si>
    <t>C069</t>
  </si>
  <si>
    <t>Model_069</t>
  </si>
  <si>
    <t>C070</t>
  </si>
  <si>
    <t>Model_070</t>
  </si>
  <si>
    <t>C071</t>
  </si>
  <si>
    <t>Model_071</t>
  </si>
  <si>
    <t>C072</t>
  </si>
  <si>
    <t>Model_072</t>
  </si>
  <si>
    <t>C073</t>
  </si>
  <si>
    <t>Model_073</t>
  </si>
  <si>
    <t>C074</t>
  </si>
  <si>
    <t>Model_074</t>
  </si>
  <si>
    <t>C075</t>
  </si>
  <si>
    <t>Model_075</t>
  </si>
  <si>
    <t>C076</t>
  </si>
  <si>
    <t>Model_076</t>
  </si>
  <si>
    <t>C077</t>
  </si>
  <si>
    <t>Model_077</t>
  </si>
  <si>
    <t>C078</t>
  </si>
  <si>
    <t>Model_078</t>
  </si>
  <si>
    <t>C079</t>
  </si>
  <si>
    <t>Model_079</t>
  </si>
  <si>
    <t>C080</t>
  </si>
  <si>
    <t>Model_080</t>
  </si>
  <si>
    <t>C081</t>
  </si>
  <si>
    <t>Model_081</t>
  </si>
  <si>
    <t>C082</t>
  </si>
  <si>
    <t>Model_082</t>
  </si>
  <si>
    <t>C083</t>
  </si>
  <si>
    <t>Model_083</t>
  </si>
  <si>
    <t>C084</t>
  </si>
  <si>
    <t>Model_084</t>
  </si>
  <si>
    <t>C085</t>
  </si>
  <si>
    <t>Model_085</t>
  </si>
  <si>
    <t>C086</t>
  </si>
  <si>
    <t>Model_086</t>
  </si>
  <si>
    <t>C087</t>
  </si>
  <si>
    <t>Model_087</t>
  </si>
  <si>
    <t>C088</t>
  </si>
  <si>
    <t>Model_088</t>
  </si>
  <si>
    <t>C089</t>
  </si>
  <si>
    <t>Model_089</t>
  </si>
  <si>
    <t>C090</t>
  </si>
  <si>
    <t>Model_090</t>
  </si>
  <si>
    <t>C091</t>
  </si>
  <si>
    <t>Model_091</t>
  </si>
  <si>
    <t>C092</t>
  </si>
  <si>
    <t>Model_092</t>
  </si>
  <si>
    <t>C093</t>
  </si>
  <si>
    <t>Model_093</t>
  </si>
  <si>
    <t>C094</t>
  </si>
  <si>
    <t>Model_094</t>
  </si>
  <si>
    <t>C095</t>
  </si>
  <si>
    <t>Model_095</t>
  </si>
  <si>
    <t>C096</t>
  </si>
  <si>
    <t>Model_096</t>
  </si>
  <si>
    <t>C097</t>
  </si>
  <si>
    <t>Model_097</t>
  </si>
  <si>
    <t>C098</t>
  </si>
  <si>
    <t>Model_098</t>
  </si>
  <si>
    <t>C099</t>
  </si>
  <si>
    <t>Model_099</t>
  </si>
  <si>
    <t>C100</t>
  </si>
  <si>
    <t>Model_100</t>
  </si>
  <si>
    <t>Y = aX1 + bX2 + cX3 + e</t>
  </si>
  <si>
    <t>KB6</t>
  </si>
  <si>
    <t>SUMMARY OUTPUT</t>
  </si>
  <si>
    <t>Regression Statistics</t>
  </si>
  <si>
    <t>Multiple R</t>
  </si>
  <si>
    <t>R Square</t>
  </si>
  <si>
    <t>Adjusted R Square</t>
  </si>
  <si>
    <t>Standard Error</t>
  </si>
  <si>
    <t>Observations</t>
  </si>
  <si>
    <t>ANOVA</t>
  </si>
  <si>
    <t>Regression</t>
  </si>
  <si>
    <t>Residual</t>
  </si>
  <si>
    <t>Total</t>
  </si>
  <si>
    <t>Intercept</t>
  </si>
  <si>
    <t>df</t>
  </si>
  <si>
    <t>SS</t>
  </si>
  <si>
    <t>MS</t>
  </si>
  <si>
    <t>F</t>
  </si>
  <si>
    <t>Significance F</t>
  </si>
  <si>
    <t>Coefficients</t>
  </si>
  <si>
    <t>t Stat</t>
  </si>
  <si>
    <t>P-value</t>
  </si>
  <si>
    <t>Lower 95%</t>
  </si>
  <si>
    <t>Upper 95%</t>
  </si>
  <si>
    <t>Lower 95.0%</t>
  </si>
  <si>
    <t>Upper 95.0%</t>
  </si>
  <si>
    <t>RESIDUAL OUTPUT</t>
  </si>
  <si>
    <t>Observation</t>
  </si>
  <si>
    <t>Predicted Price_USD</t>
  </si>
  <si>
    <t>Residuals</t>
  </si>
  <si>
    <t>a) Khởi điểm: Thời hạn vay 5 năm, Tiền vay 0.5*2.300.000</t>
  </si>
  <si>
    <t>Phần trăm</t>
  </si>
  <si>
    <t xml:space="preserve">Giá căn hộ </t>
  </si>
  <si>
    <t>Tiền vay</t>
  </si>
  <si>
    <t>Thanh toán</t>
  </si>
  <si>
    <r>
      <t xml:space="preserve">Tập đoàn Nam Long bán căn hộ trả góp tại Ehomes 3 với các loại căn hộ như sau: 
 - 1PN: 38m2 - 1.5 tỷ; 54m2 - 1.8 tỷ
 - 2PN: 64m2 - 2.3 tỷ; 74m2 - 2.8 tỷ
 - 3PN: 84m2 - 3.1 tỷ; 96m2 - 3.4 tỷ
Ngân hàng hỗ trợ cho vay với lãi suất năm cố định là 8.5%, thời hạn tối đa 25 năm và số tiền vay tối đa là 70% giá trị căn hộ. 
a) So sánh số tiền phải góp hàng tháng khi khách hàng mua căn hộ 2PN-64m2 với thời hạn vay giao động từ 5 đến 25 năm (bước nhảy 5 năm) và số tiền vay giao động từ 50% - 70% giá trị căn hộ (bước nhảy 5%).
b) Giả sử bạn muốn cho thuê lại căn hộ để bù vào tiền trả ngân hàng, phân tích để tìm ra </t>
    </r>
    <r>
      <rPr>
        <sz val="10"/>
        <color rgb="FFC00000"/>
        <rFont val="Calibri (Body)"/>
      </rPr>
      <t>kịch bản đem lại lợi nhuận lớn nhất</t>
    </r>
    <r>
      <rPr>
        <sz val="10"/>
        <color theme="1"/>
        <rFont val="Calibri"/>
        <family val="2"/>
        <scheme val="minor"/>
      </rPr>
      <t xml:space="preserve"> trong các kịch bản sau đây: 
   </t>
    </r>
    <r>
      <rPr>
        <sz val="10"/>
        <color rgb="FFC00000"/>
        <rFont val="Calibri (Body)"/>
      </rPr>
      <t xml:space="preserve"> - Vay 70% trong 15 năm mua căn hộ 3 phòng ngủ 84m2 có thể cho thuê lại với giá 10 - 15 triệu 
    - Vay 60% trong 20 năm mua căn hộ 3 phòng ngủ 84m2 có thể cho thuê lại với giá 10 - 15 triệu </t>
    </r>
    <r>
      <rPr>
        <sz val="10"/>
        <color theme="1"/>
        <rFont val="Calibri"/>
        <family val="2"/>
        <scheme val="minor"/>
      </rPr>
      <t xml:space="preserve">
   </t>
    </r>
    <r>
      <rPr>
        <sz val="10"/>
        <color theme="2" tint="-0.499984740745262"/>
        <rFont val="Calibri (Body)"/>
      </rPr>
      <t xml:space="preserve"> - Vay 60% trong 15 năm mua căn hộ 2 phòng ngủ 74m2 có thể cho thuê lại với giá 7 - 10 triệu
    - Vay 40% trong 15 năm mua căn hộ 1 phòng ngủ 54m2 có thể cho thuê lại với giá 5 - 7 triệu</t>
    </r>
    <r>
      <rPr>
        <sz val="10"/>
        <color theme="1"/>
        <rFont val="Calibri"/>
        <family val="2"/>
        <scheme val="minor"/>
      </rPr>
      <t xml:space="preserve">
c) Giả sử bạn muốn vay trong vòng 25 để mua căn hộ 3 phòng ngủ 84m2 và chỉ có khả năng chi trả cho ngân hàng tối đa 15 triệu/tháng, phân tích cho biết số tiền tối đa bạn có thể vay được?
d) Giả sử bạn muốn vay 50% để mua căn hộ 3 phòng ngủ 96m2, số tiền hàng tháng bạn phải trả là bao nhiêu để trả nợ được trong 10 năm?</t>
    </r>
  </si>
  <si>
    <t>Kịch bản #1</t>
  </si>
  <si>
    <t>Vay 70% trong 15 năm mua căn hộ 3 phòng ngủ 84m2 có thể cho thuê lại với giá 10</t>
  </si>
  <si>
    <t>b) Đánh giá các kịch bản</t>
  </si>
  <si>
    <t>Thanh toán
(1 tháng)</t>
  </si>
  <si>
    <t>Tiền thuê</t>
  </si>
  <si>
    <t>Lợi nhuận</t>
  </si>
  <si>
    <t>Corr</t>
  </si>
  <si>
    <t>Slope</t>
  </si>
  <si>
    <t>Linest</t>
  </si>
  <si>
    <t>Linest(EngineSize_L, Horsepower_hp)</t>
  </si>
  <si>
    <t>Data Analysis Tools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</si>
</sst>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29" x14ac:knownFonts="1">
    <font>
      <sz val="12"/>
      <color theme="1"/>
      <name val="Calibri"/>
      <family val="2"/>
      <scheme val="minor"/>
    </font>
    <font>
      <sz val="12"/>
      <color theme="1"/>
      <name val="Calibri"/>
      <family val="2"/>
      <scheme val="minor"/>
    </font>
    <font>
      <sz val="12"/>
      <color rgb="FFFF0000"/>
      <name val="Calibri"/>
      <family val="2"/>
      <scheme val="minor"/>
    </font>
    <font>
      <b/>
      <sz val="12"/>
      <color theme="1"/>
      <name val="Calibri"/>
      <family val="2"/>
      <scheme val="minor"/>
    </font>
    <font>
      <b/>
      <sz val="12"/>
      <color rgb="FFC00000"/>
      <name val="Calibri"/>
      <family val="2"/>
      <scheme val="minor"/>
    </font>
    <font>
      <sz val="12"/>
      <color rgb="FF0432FF"/>
      <name val="Calibri"/>
      <family val="2"/>
      <scheme val="minor"/>
    </font>
    <font>
      <b/>
      <sz val="12"/>
      <color rgb="FF0432FF"/>
      <name val="Calibri"/>
      <family val="2"/>
      <scheme val="minor"/>
    </font>
    <font>
      <sz val="12"/>
      <color rgb="FFC00000"/>
      <name val="Calibri"/>
      <family val="2"/>
      <scheme val="minor"/>
    </font>
    <font>
      <sz val="12"/>
      <color rgb="FF009193"/>
      <name val="Calibri"/>
      <family val="2"/>
      <scheme val="minor"/>
    </font>
    <font>
      <b/>
      <sz val="12"/>
      <color rgb="FF009193"/>
      <name val="Calibri"/>
      <family val="2"/>
      <scheme val="minor"/>
    </font>
    <font>
      <b/>
      <sz val="12"/>
      <color rgb="FFFF0000"/>
      <name val="Calibri"/>
      <family val="2"/>
      <scheme val="minor"/>
    </font>
    <font>
      <b/>
      <u/>
      <sz val="12"/>
      <color rgb="FF008F00"/>
      <name val="Calibri (Body)"/>
    </font>
    <font>
      <sz val="12"/>
      <color rgb="FF008F00"/>
      <name val="Calibri"/>
      <family val="2"/>
      <scheme val="minor"/>
    </font>
    <font>
      <b/>
      <sz val="12"/>
      <color rgb="FF008F00"/>
      <name val="Calibri"/>
      <family val="2"/>
      <scheme val="minor"/>
    </font>
    <font>
      <b/>
      <u/>
      <sz val="12"/>
      <color rgb="FF008F00"/>
      <name val="Calibri"/>
      <family val="2"/>
      <scheme val="minor"/>
    </font>
    <font>
      <sz val="10"/>
      <color rgb="FF0432FF"/>
      <name val="Calibri"/>
      <family val="2"/>
      <scheme val="minor"/>
    </font>
    <font>
      <b/>
      <sz val="14"/>
      <color indexed="9"/>
      <name val="Calibri"/>
      <family val="2"/>
      <scheme val="minor"/>
    </font>
    <font>
      <b/>
      <sz val="12"/>
      <color indexed="8"/>
      <name val="Calibri"/>
      <family val="2"/>
      <scheme val="minor"/>
    </font>
    <font>
      <b/>
      <sz val="12"/>
      <color indexed="18"/>
      <name val="Calibri"/>
      <family val="2"/>
      <scheme val="minor"/>
    </font>
    <font>
      <sz val="11"/>
      <color indexed="9"/>
      <name val="Calibri"/>
      <family val="2"/>
      <scheme val="minor"/>
    </font>
    <font>
      <b/>
      <sz val="10"/>
      <color rgb="FF0432FF"/>
      <name val="Calibri"/>
      <family val="2"/>
      <scheme val="minor"/>
    </font>
    <font>
      <sz val="10"/>
      <color theme="1"/>
      <name val="Calibri"/>
      <family val="2"/>
      <scheme val="minor"/>
    </font>
    <font>
      <i/>
      <sz val="12"/>
      <color rgb="FFC00000"/>
      <name val="Calibri"/>
      <family val="2"/>
      <scheme val="minor"/>
    </font>
    <font>
      <sz val="8"/>
      <color theme="1"/>
      <name val="Calibri"/>
      <family val="2"/>
      <scheme val="minor"/>
    </font>
    <font>
      <b/>
      <sz val="11"/>
      <color theme="1"/>
      <name val="Calibri"/>
      <family val="2"/>
      <scheme val="minor"/>
    </font>
    <font>
      <i/>
      <sz val="12"/>
      <color theme="1"/>
      <name val="Calibri"/>
      <family val="2"/>
      <scheme val="minor"/>
    </font>
    <font>
      <sz val="10"/>
      <color theme="2" tint="-0.499984740745262"/>
      <name val="Calibri (Body)"/>
    </font>
    <font>
      <sz val="10"/>
      <color rgb="FFC00000"/>
      <name val="Calibri (Body)"/>
    </font>
    <font>
      <sz val="12"/>
      <color rgb="FF7030A0"/>
      <name val="Calibri"/>
      <family val="2"/>
      <scheme val="minor"/>
    </font>
  </fonts>
  <fills count="13">
    <fill>
      <patternFill patternType="none"/>
    </fill>
    <fill>
      <patternFill patternType="gray125"/>
    </fill>
    <fill>
      <patternFill patternType="solid">
        <fgColor rgb="FFFFC000"/>
        <bgColor indexed="64"/>
      </patternFill>
    </fill>
    <fill>
      <patternFill patternType="solid">
        <fgColor theme="9" tint="0.59999389629810485"/>
        <bgColor indexed="64"/>
      </patternFill>
    </fill>
    <fill>
      <patternFill patternType="solid">
        <fgColor theme="4" tint="0.79998168889431442"/>
        <bgColor indexed="64"/>
      </patternFill>
    </fill>
    <fill>
      <patternFill patternType="solid">
        <fgColor theme="8" tint="0.79998168889431442"/>
        <bgColor indexed="64"/>
      </patternFill>
    </fill>
    <fill>
      <patternFill patternType="solid">
        <fgColor indexed="20"/>
        <bgColor indexed="24"/>
      </patternFill>
    </fill>
    <fill>
      <patternFill patternType="solid">
        <fgColor indexed="22"/>
        <bgColor indexed="24"/>
      </patternFill>
    </fill>
    <fill>
      <patternFill patternType="solid">
        <fgColor indexed="22"/>
        <bgColor indexed="64"/>
      </patternFill>
    </fill>
    <fill>
      <patternFill patternType="solid">
        <fgColor rgb="FFFFFF00"/>
        <bgColor indexed="64"/>
      </patternFill>
    </fill>
    <fill>
      <patternFill patternType="solid">
        <fgColor theme="9" tint="0.39997558519241921"/>
        <bgColor indexed="64"/>
      </patternFill>
    </fill>
    <fill>
      <patternFill patternType="solid">
        <fgColor theme="7" tint="0.39997558519241921"/>
        <bgColor indexed="64"/>
      </patternFill>
    </fill>
    <fill>
      <patternFill patternType="solid">
        <fgColor theme="5" tint="0.59999389629810485"/>
        <bgColor indexed="64"/>
      </patternFill>
    </fill>
  </fills>
  <borders count="17">
    <border>
      <left/>
      <right/>
      <top/>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right/>
      <top style="medium">
        <color indexed="64"/>
      </top>
      <bottom/>
      <diagonal/>
    </border>
    <border>
      <left/>
      <right/>
      <top/>
      <bottom style="medium">
        <color indexed="64"/>
      </bottom>
      <diagonal/>
    </border>
    <border>
      <left/>
      <right/>
      <top/>
      <bottom style="thin">
        <color indexed="64"/>
      </bottom>
      <diagonal/>
    </border>
    <border>
      <left/>
      <right/>
      <top style="thin">
        <color indexed="64"/>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auto="1"/>
      </left>
      <right style="thin">
        <color auto="1"/>
      </right>
      <top style="thin">
        <color auto="1"/>
      </top>
      <bottom style="thin">
        <color auto="1"/>
      </bottom>
      <diagonal/>
    </border>
    <border>
      <left/>
      <right/>
      <top style="medium">
        <color indexed="64"/>
      </top>
      <bottom style="thin">
        <color indexed="64"/>
      </bottom>
      <diagonal/>
    </border>
    <border>
      <left style="thin">
        <color auto="1"/>
      </left>
      <right/>
      <top style="thin">
        <color auto="1"/>
      </top>
      <bottom style="thin">
        <color auto="1"/>
      </bottom>
      <diagonal/>
    </border>
  </borders>
  <cellStyleXfs count="2">
    <xf numFmtId="0" fontId="0" fillId="0" borderId="0"/>
    <xf numFmtId="9" fontId="1" fillId="0" borderId="0" applyFont="0" applyFill="0" applyBorder="0" applyAlignment="0" applyProtection="0"/>
  </cellStyleXfs>
  <cellXfs count="116">
    <xf numFmtId="0" fontId="0" fillId="0" borderId="0" xfId="0"/>
    <xf numFmtId="4" fontId="0" fillId="0" borderId="0" xfId="0" applyNumberFormat="1"/>
    <xf numFmtId="0" fontId="3" fillId="0" borderId="0" xfId="0" applyFont="1"/>
    <xf numFmtId="4" fontId="3" fillId="0" borderId="0" xfId="0" applyNumberFormat="1" applyFont="1"/>
    <xf numFmtId="0" fontId="0" fillId="0" borderId="0" xfId="0" applyAlignment="1">
      <alignment horizontal="left"/>
    </xf>
    <xf numFmtId="0" fontId="5" fillId="0" borderId="0" xfId="0" applyFont="1"/>
    <xf numFmtId="164" fontId="0" fillId="0" borderId="0" xfId="1" applyNumberFormat="1" applyFont="1"/>
    <xf numFmtId="4" fontId="6" fillId="0" borderId="0" xfId="0" applyNumberFormat="1" applyFont="1"/>
    <xf numFmtId="0" fontId="7" fillId="0" borderId="0" xfId="0" applyFont="1"/>
    <xf numFmtId="4" fontId="6" fillId="0" borderId="0" xfId="0" applyNumberFormat="1" applyFont="1" applyAlignment="1">
      <alignment horizontal="right"/>
    </xf>
    <xf numFmtId="4" fontId="5" fillId="0" borderId="0" xfId="0" applyNumberFormat="1" applyFont="1" applyAlignment="1">
      <alignment horizontal="right"/>
    </xf>
    <xf numFmtId="0" fontId="2" fillId="0" borderId="0" xfId="0" applyFont="1"/>
    <xf numFmtId="0" fontId="6" fillId="0" borderId="0" xfId="0" applyFont="1" applyAlignment="1">
      <alignment horizontal="left"/>
    </xf>
    <xf numFmtId="164" fontId="2" fillId="0" borderId="0" xfId="0" applyNumberFormat="1" applyFont="1" applyAlignment="1">
      <alignment horizontal="right"/>
    </xf>
    <xf numFmtId="3" fontId="0" fillId="0" borderId="0" xfId="0" applyNumberFormat="1"/>
    <xf numFmtId="3" fontId="2" fillId="0" borderId="0" xfId="0" applyNumberFormat="1" applyFont="1" applyAlignment="1">
      <alignment horizontal="right"/>
    </xf>
    <xf numFmtId="9" fontId="7" fillId="0" borderId="0" xfId="0" applyNumberFormat="1" applyFont="1"/>
    <xf numFmtId="4" fontId="5" fillId="0" borderId="0" xfId="0" applyNumberFormat="1" applyFont="1"/>
    <xf numFmtId="0" fontId="5" fillId="5" borderId="0" xfId="0" applyFont="1" applyFill="1"/>
    <xf numFmtId="4" fontId="6" fillId="5" borderId="0" xfId="0" applyNumberFormat="1" applyFont="1" applyFill="1"/>
    <xf numFmtId="9" fontId="5" fillId="0" borderId="0" xfId="0" applyNumberFormat="1" applyFont="1"/>
    <xf numFmtId="0" fontId="15" fillId="0" borderId="0" xfId="0" applyFont="1"/>
    <xf numFmtId="4" fontId="15" fillId="0" borderId="0" xfId="0" applyNumberFormat="1" applyFont="1"/>
    <xf numFmtId="0" fontId="0" fillId="3" borderId="0" xfId="0" applyFill="1"/>
    <xf numFmtId="0" fontId="4" fillId="0" borderId="1" xfId="0" applyFont="1" applyBorder="1"/>
    <xf numFmtId="4" fontId="6" fillId="0" borderId="2" xfId="0" applyNumberFormat="1" applyFont="1" applyBorder="1"/>
    <xf numFmtId="9" fontId="0" fillId="0" borderId="3" xfId="0" applyNumberFormat="1" applyBorder="1"/>
    <xf numFmtId="4" fontId="0" fillId="0" borderId="4" xfId="0" applyNumberFormat="1" applyBorder="1"/>
    <xf numFmtId="9" fontId="0" fillId="0" borderId="5" xfId="0" applyNumberFormat="1" applyBorder="1"/>
    <xf numFmtId="4" fontId="0" fillId="0" borderId="6" xfId="0" applyNumberFormat="1" applyBorder="1"/>
    <xf numFmtId="4" fontId="6" fillId="0" borderId="1" xfId="0" applyNumberFormat="1" applyFont="1" applyBorder="1"/>
    <xf numFmtId="9" fontId="0" fillId="4" borderId="7" xfId="0" applyNumberFormat="1" applyFill="1" applyBorder="1"/>
    <xf numFmtId="9" fontId="0" fillId="4" borderId="2" xfId="0" applyNumberFormat="1" applyFill="1" applyBorder="1"/>
    <xf numFmtId="9" fontId="0" fillId="4" borderId="3" xfId="0" applyNumberFormat="1" applyFill="1" applyBorder="1"/>
    <xf numFmtId="9" fontId="0" fillId="4" borderId="5" xfId="0" applyNumberFormat="1" applyFill="1" applyBorder="1"/>
    <xf numFmtId="4" fontId="0" fillId="0" borderId="8" xfId="0" applyNumberFormat="1" applyBorder="1"/>
    <xf numFmtId="4" fontId="7" fillId="0" borderId="0" xfId="0" applyNumberFormat="1" applyFont="1"/>
    <xf numFmtId="4" fontId="7" fillId="0" borderId="8" xfId="0" applyNumberFormat="1" applyFont="1" applyBorder="1"/>
    <xf numFmtId="4" fontId="7" fillId="0" borderId="6" xfId="0" applyNumberFormat="1" applyFont="1" applyBorder="1"/>
    <xf numFmtId="0" fontId="10" fillId="0" borderId="1" xfId="0" applyFont="1" applyBorder="1" applyAlignment="1">
      <alignment horizontal="right"/>
    </xf>
    <xf numFmtId="4" fontId="6" fillId="0" borderId="2" xfId="0" applyNumberFormat="1" applyFont="1" applyBorder="1" applyAlignment="1">
      <alignment horizontal="right"/>
    </xf>
    <xf numFmtId="164" fontId="2" fillId="0" borderId="3" xfId="0" applyNumberFormat="1" applyFont="1" applyBorder="1" applyAlignment="1">
      <alignment horizontal="right"/>
    </xf>
    <xf numFmtId="4" fontId="5" fillId="0" borderId="4" xfId="0" applyNumberFormat="1" applyFont="1" applyBorder="1" applyAlignment="1">
      <alignment horizontal="right"/>
    </xf>
    <xf numFmtId="164" fontId="2" fillId="0" borderId="5" xfId="0" applyNumberFormat="1" applyFont="1" applyBorder="1" applyAlignment="1">
      <alignment horizontal="right"/>
    </xf>
    <xf numFmtId="4" fontId="5" fillId="0" borderId="6" xfId="0" applyNumberFormat="1" applyFont="1" applyBorder="1" applyAlignment="1">
      <alignment horizontal="right"/>
    </xf>
    <xf numFmtId="164" fontId="10" fillId="0" borderId="1" xfId="0" applyNumberFormat="1" applyFont="1" applyBorder="1" applyAlignment="1">
      <alignment horizontal="right"/>
    </xf>
    <xf numFmtId="3" fontId="2" fillId="0" borderId="7" xfId="0" applyNumberFormat="1" applyFont="1" applyBorder="1" applyAlignment="1">
      <alignment horizontal="right"/>
    </xf>
    <xf numFmtId="3" fontId="2" fillId="0" borderId="2" xfId="0" applyNumberFormat="1" applyFont="1" applyBorder="1" applyAlignment="1">
      <alignment horizontal="right"/>
    </xf>
    <xf numFmtId="4" fontId="6" fillId="0" borderId="5" xfId="0" applyNumberFormat="1" applyFont="1" applyBorder="1" applyAlignment="1">
      <alignment horizontal="right"/>
    </xf>
    <xf numFmtId="4" fontId="5" fillId="0" borderId="8" xfId="0" applyNumberFormat="1" applyFont="1" applyBorder="1" applyAlignment="1">
      <alignment horizontal="right"/>
    </xf>
    <xf numFmtId="4" fontId="6" fillId="0" borderId="1" xfId="0" applyNumberFormat="1" applyFont="1" applyBorder="1" applyAlignment="1">
      <alignment horizontal="right"/>
    </xf>
    <xf numFmtId="0" fontId="8" fillId="0" borderId="7" xfId="0" applyFont="1" applyBorder="1"/>
    <xf numFmtId="0" fontId="8" fillId="0" borderId="2" xfId="0" applyFont="1" applyBorder="1"/>
    <xf numFmtId="164" fontId="0" fillId="0" borderId="0" xfId="0" applyNumberFormat="1"/>
    <xf numFmtId="0" fontId="16" fillId="6" borderId="9" xfId="0" applyFont="1" applyFill="1" applyBorder="1" applyAlignment="1">
      <alignment horizontal="left"/>
    </xf>
    <xf numFmtId="0" fontId="16" fillId="6" borderId="7" xfId="0" applyFont="1" applyFill="1" applyBorder="1" applyAlignment="1">
      <alignment horizontal="left"/>
    </xf>
    <xf numFmtId="0" fontId="0" fillId="0" borderId="10" xfId="0" applyBorder="1"/>
    <xf numFmtId="0" fontId="17" fillId="7" borderId="0" xfId="0" applyFont="1" applyFill="1" applyAlignment="1">
      <alignment horizontal="left"/>
    </xf>
    <xf numFmtId="0" fontId="18" fillId="7" borderId="10" xfId="0" applyFont="1" applyFill="1" applyBorder="1" applyAlignment="1">
      <alignment horizontal="left"/>
    </xf>
    <xf numFmtId="0" fontId="17" fillId="7" borderId="8" xfId="0" applyFont="1" applyFill="1" applyBorder="1" applyAlignment="1">
      <alignment horizontal="left"/>
    </xf>
    <xf numFmtId="0" fontId="19" fillId="6" borderId="7" xfId="0" applyFont="1" applyFill="1" applyBorder="1" applyAlignment="1">
      <alignment horizontal="right"/>
    </xf>
    <xf numFmtId="0" fontId="19" fillId="6" borderId="9" xfId="0" applyFont="1" applyFill="1" applyBorder="1" applyAlignment="1">
      <alignment horizontal="right"/>
    </xf>
    <xf numFmtId="4" fontId="0" fillId="8" borderId="0" xfId="0" applyNumberFormat="1" applyFill="1"/>
    <xf numFmtId="0" fontId="0" fillId="8" borderId="0" xfId="0" applyFill="1"/>
    <xf numFmtId="164" fontId="0" fillId="8" borderId="0" xfId="0" applyNumberFormat="1" applyFill="1"/>
    <xf numFmtId="4" fontId="6" fillId="2" borderId="1" xfId="0" applyNumberFormat="1" applyFont="1" applyFill="1" applyBorder="1" applyAlignment="1">
      <alignment horizontal="right"/>
    </xf>
    <xf numFmtId="4" fontId="20" fillId="0" borderId="0" xfId="0" applyNumberFormat="1" applyFont="1"/>
    <xf numFmtId="0" fontId="21" fillId="0" borderId="0" xfId="0" applyFont="1"/>
    <xf numFmtId="9" fontId="21" fillId="0" borderId="0" xfId="0" applyNumberFormat="1" applyFont="1"/>
    <xf numFmtId="4" fontId="21" fillId="0" borderId="0" xfId="0" applyNumberFormat="1" applyFont="1"/>
    <xf numFmtId="0" fontId="22" fillId="0" borderId="0" xfId="0" applyFont="1"/>
    <xf numFmtId="164" fontId="3" fillId="0" borderId="0" xfId="1" applyNumberFormat="1" applyFont="1"/>
    <xf numFmtId="4" fontId="5" fillId="9" borderId="0" xfId="0" applyNumberFormat="1" applyFont="1" applyFill="1" applyAlignment="1">
      <alignment horizontal="right"/>
    </xf>
    <xf numFmtId="4" fontId="5" fillId="9" borderId="4" xfId="0" applyNumberFormat="1" applyFont="1" applyFill="1" applyBorder="1" applyAlignment="1">
      <alignment horizontal="right"/>
    </xf>
    <xf numFmtId="0" fontId="0" fillId="0" borderId="0" xfId="0" applyAlignment="1">
      <alignment wrapText="1"/>
    </xf>
    <xf numFmtId="0" fontId="0" fillId="0" borderId="8" xfId="0" applyBorder="1"/>
    <xf numFmtId="0" fontId="23" fillId="0" borderId="0" xfId="0" applyFont="1" applyAlignment="1">
      <alignment vertical="top" wrapText="1"/>
    </xf>
    <xf numFmtId="0" fontId="24" fillId="0" borderId="14" xfId="0" applyFont="1" applyBorder="1" applyAlignment="1">
      <alignment horizontal="center" vertical="top"/>
    </xf>
    <xf numFmtId="0" fontId="0" fillId="9" borderId="0" xfId="0" applyFill="1"/>
    <xf numFmtId="0" fontId="25" fillId="0" borderId="15" xfId="0" applyFont="1" applyBorder="1" applyAlignment="1">
      <alignment horizontal="center"/>
    </xf>
    <xf numFmtId="0" fontId="25" fillId="0" borderId="15" xfId="0" applyFont="1" applyBorder="1" applyAlignment="1">
      <alignment horizontal="centerContinuous"/>
    </xf>
    <xf numFmtId="9" fontId="0" fillId="0" borderId="0" xfId="0" applyNumberFormat="1"/>
    <xf numFmtId="0" fontId="3" fillId="9" borderId="0" xfId="0" applyFont="1" applyFill="1"/>
    <xf numFmtId="10" fontId="0" fillId="0" borderId="0" xfId="0" applyNumberFormat="1"/>
    <xf numFmtId="40" fontId="0" fillId="0" borderId="0" xfId="0" applyNumberFormat="1"/>
    <xf numFmtId="40" fontId="0" fillId="10" borderId="0" xfId="0" applyNumberFormat="1" applyFill="1"/>
    <xf numFmtId="0" fontId="0" fillId="10" borderId="0" xfId="0" applyFill="1"/>
    <xf numFmtId="9" fontId="0" fillId="10" borderId="0" xfId="0" applyNumberFormat="1" applyFill="1"/>
    <xf numFmtId="0" fontId="0" fillId="11" borderId="0" xfId="0" applyFill="1"/>
    <xf numFmtId="40" fontId="0" fillId="11" borderId="0" xfId="0" applyNumberFormat="1" applyFill="1"/>
    <xf numFmtId="0" fontId="3" fillId="0" borderId="14" xfId="0" applyFont="1" applyBorder="1"/>
    <xf numFmtId="0" fontId="3" fillId="11" borderId="14" xfId="0" applyFont="1" applyFill="1" applyBorder="1"/>
    <xf numFmtId="0" fontId="4" fillId="0" borderId="14" xfId="0" applyFont="1" applyBorder="1"/>
    <xf numFmtId="0" fontId="0" fillId="0" borderId="14" xfId="0" applyBorder="1"/>
    <xf numFmtId="0" fontId="24" fillId="11" borderId="16" xfId="0" applyFont="1" applyFill="1" applyBorder="1" applyAlignment="1">
      <alignment horizontal="right" vertical="top"/>
    </xf>
    <xf numFmtId="0" fontId="6" fillId="0" borderId="14" xfId="0" applyFont="1" applyBorder="1"/>
    <xf numFmtId="0" fontId="4" fillId="0" borderId="0" xfId="0" applyFont="1"/>
    <xf numFmtId="0" fontId="4" fillId="0" borderId="8" xfId="0" applyFont="1" applyBorder="1"/>
    <xf numFmtId="0" fontId="28" fillId="0" borderId="14" xfId="0" applyFont="1" applyBorder="1"/>
    <xf numFmtId="0" fontId="28" fillId="0" borderId="0" xfId="0" applyFont="1"/>
    <xf numFmtId="0" fontId="28" fillId="0" borderId="8" xfId="0" applyFont="1" applyBorder="1"/>
    <xf numFmtId="0" fontId="0" fillId="11" borderId="14" xfId="0" applyFill="1" applyBorder="1"/>
    <xf numFmtId="0" fontId="0" fillId="10" borderId="14" xfId="0" applyFill="1" applyBorder="1"/>
    <xf numFmtId="0" fontId="0" fillId="12" borderId="0" xfId="0" applyFill="1"/>
    <xf numFmtId="0" fontId="0" fillId="12" borderId="14" xfId="0" applyFill="1" applyBorder="1"/>
    <xf numFmtId="0" fontId="3" fillId="0" borderId="14" xfId="0" applyFont="1" applyBorder="1" applyAlignment="1">
      <alignment horizontal="center"/>
    </xf>
    <xf numFmtId="0" fontId="3" fillId="4" borderId="0" xfId="0" applyFont="1" applyFill="1" applyAlignment="1">
      <alignment horizontal="left" vertical="top" wrapText="1"/>
    </xf>
    <xf numFmtId="0" fontId="9" fillId="0" borderId="0" xfId="0" applyFont="1" applyAlignment="1">
      <alignment horizontal="center"/>
    </xf>
    <xf numFmtId="0" fontId="10" fillId="0" borderId="0" xfId="0" applyFont="1" applyAlignment="1">
      <alignment vertical="center" textRotation="90"/>
    </xf>
    <xf numFmtId="0" fontId="0" fillId="4" borderId="0" xfId="0" applyFill="1" applyAlignment="1">
      <alignment horizontal="center" vertical="center" textRotation="90" wrapText="1"/>
    </xf>
    <xf numFmtId="0" fontId="0" fillId="4" borderId="0" xfId="0" applyFill="1" applyAlignment="1">
      <alignment horizontal="center"/>
    </xf>
    <xf numFmtId="0" fontId="0" fillId="3" borderId="0" xfId="0" applyFill="1" applyAlignment="1">
      <alignment horizontal="left"/>
    </xf>
    <xf numFmtId="0" fontId="0" fillId="3" borderId="0" xfId="0" applyFill="1" applyAlignment="1">
      <alignment horizontal="left" wrapText="1"/>
    </xf>
    <xf numFmtId="0" fontId="21" fillId="0" borderId="11" xfId="0" applyFont="1" applyBorder="1" applyAlignment="1">
      <alignment horizontal="left" vertical="top" wrapText="1"/>
    </xf>
    <xf numFmtId="0" fontId="21" fillId="0" borderId="12" xfId="0" applyFont="1" applyBorder="1" applyAlignment="1">
      <alignment horizontal="left" vertical="top"/>
    </xf>
    <xf numFmtId="0" fontId="21" fillId="0" borderId="13" xfId="0" applyFont="1" applyBorder="1" applyAlignment="1">
      <alignment horizontal="left" vertical="top"/>
    </xf>
  </cellXfs>
  <cellStyles count="2">
    <cellStyle name="Normal" xfId="0" builtinId="0"/>
    <cellStyle name="Percent" xfId="1" builtinId="5"/>
  </cellStyles>
  <dxfs count="0"/>
  <tableStyles count="0" defaultTableStyle="TableStyleMedium2" defaultPivotStyle="PivotStyleLight16"/>
  <colors>
    <mruColors>
      <color rgb="FF0432FF"/>
      <color rgb="FF008F00"/>
      <color rgb="FF00919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eetMetadata" Target="metadata.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EngineSize_L Line Fit  Plot</a:t>
            </a:r>
          </a:p>
        </c:rich>
      </c:tx>
      <c:layout>
        <c:manualLayout>
          <c:xMode val="edge"/>
          <c:yMode val="edge"/>
          <c:x val="0.27517302644861702"/>
          <c:y val="9.815950920245399E-2"/>
        </c:manualLayout>
      </c:layout>
      <c:overlay val="0"/>
    </c:title>
    <c:autoTitleDeleted val="0"/>
    <c:plotArea>
      <c:layout/>
      <c:scatterChart>
        <c:scatterStyle val="lineMarker"/>
        <c:varyColors val="0"/>
        <c:ser>
          <c:idx val="0"/>
          <c:order val="0"/>
          <c:tx>
            <c:v>Price_USD</c:v>
          </c:tx>
          <c:spPr>
            <a:ln w="19050">
              <a:noFill/>
            </a:ln>
          </c:spPr>
          <c:xVal>
            <c:numRef>
              <c:f>'Demo 3'!$C$2:$C$101</c:f>
              <c:numCache>
                <c:formatCode>General</c:formatCode>
                <c:ptCount val="100"/>
                <c:pt idx="0">
                  <c:v>2.67</c:v>
                </c:pt>
                <c:pt idx="1">
                  <c:v>1.38</c:v>
                </c:pt>
                <c:pt idx="2">
                  <c:v>2.06</c:v>
                </c:pt>
                <c:pt idx="3">
                  <c:v>1.29</c:v>
                </c:pt>
                <c:pt idx="4">
                  <c:v>1.1599999999999999</c:v>
                </c:pt>
                <c:pt idx="5">
                  <c:v>1.44</c:v>
                </c:pt>
                <c:pt idx="6">
                  <c:v>2.06</c:v>
                </c:pt>
                <c:pt idx="7">
                  <c:v>2.2999999999999998</c:v>
                </c:pt>
                <c:pt idx="8">
                  <c:v>2.36</c:v>
                </c:pt>
                <c:pt idx="9">
                  <c:v>1.94</c:v>
                </c:pt>
                <c:pt idx="10">
                  <c:v>1.64</c:v>
                </c:pt>
                <c:pt idx="11">
                  <c:v>2.16</c:v>
                </c:pt>
                <c:pt idx="12">
                  <c:v>1.43</c:v>
                </c:pt>
                <c:pt idx="13">
                  <c:v>1.72</c:v>
                </c:pt>
                <c:pt idx="14">
                  <c:v>1.76</c:v>
                </c:pt>
                <c:pt idx="15">
                  <c:v>1.79</c:v>
                </c:pt>
                <c:pt idx="16">
                  <c:v>1.95</c:v>
                </c:pt>
                <c:pt idx="17">
                  <c:v>1.77</c:v>
                </c:pt>
                <c:pt idx="18">
                  <c:v>2.41</c:v>
                </c:pt>
                <c:pt idx="19">
                  <c:v>1.71</c:v>
                </c:pt>
                <c:pt idx="20">
                  <c:v>2.4700000000000002</c:v>
                </c:pt>
                <c:pt idx="21">
                  <c:v>1.95</c:v>
                </c:pt>
                <c:pt idx="22">
                  <c:v>2.33</c:v>
                </c:pt>
                <c:pt idx="23">
                  <c:v>1.47</c:v>
                </c:pt>
                <c:pt idx="24">
                  <c:v>1.63</c:v>
                </c:pt>
                <c:pt idx="25">
                  <c:v>2.44</c:v>
                </c:pt>
                <c:pt idx="26">
                  <c:v>1.87</c:v>
                </c:pt>
                <c:pt idx="27">
                  <c:v>1.36</c:v>
                </c:pt>
                <c:pt idx="28">
                  <c:v>1.87</c:v>
                </c:pt>
                <c:pt idx="29">
                  <c:v>2.1800000000000002</c:v>
                </c:pt>
                <c:pt idx="30">
                  <c:v>2.16</c:v>
                </c:pt>
                <c:pt idx="31">
                  <c:v>1.99</c:v>
                </c:pt>
                <c:pt idx="32">
                  <c:v>1.78</c:v>
                </c:pt>
                <c:pt idx="33">
                  <c:v>2.6</c:v>
                </c:pt>
                <c:pt idx="34">
                  <c:v>2.3199999999999998</c:v>
                </c:pt>
                <c:pt idx="35">
                  <c:v>1.81</c:v>
                </c:pt>
                <c:pt idx="36">
                  <c:v>1.92</c:v>
                </c:pt>
                <c:pt idx="37">
                  <c:v>2.59</c:v>
                </c:pt>
                <c:pt idx="38">
                  <c:v>1.85</c:v>
                </c:pt>
                <c:pt idx="39">
                  <c:v>2.5499999999999998</c:v>
                </c:pt>
                <c:pt idx="40">
                  <c:v>2.56</c:v>
                </c:pt>
                <c:pt idx="41">
                  <c:v>2.33</c:v>
                </c:pt>
                <c:pt idx="42">
                  <c:v>1.68</c:v>
                </c:pt>
                <c:pt idx="43">
                  <c:v>1.84</c:v>
                </c:pt>
                <c:pt idx="44">
                  <c:v>1.88</c:v>
                </c:pt>
                <c:pt idx="45">
                  <c:v>1.69</c:v>
                </c:pt>
                <c:pt idx="46">
                  <c:v>3</c:v>
                </c:pt>
                <c:pt idx="47">
                  <c:v>1.28</c:v>
                </c:pt>
                <c:pt idx="48">
                  <c:v>1.1200000000000001</c:v>
                </c:pt>
                <c:pt idx="49">
                  <c:v>1.89</c:v>
                </c:pt>
                <c:pt idx="50">
                  <c:v>2.2000000000000002</c:v>
                </c:pt>
                <c:pt idx="51">
                  <c:v>2.91</c:v>
                </c:pt>
                <c:pt idx="52">
                  <c:v>2.09</c:v>
                </c:pt>
                <c:pt idx="53">
                  <c:v>1.87</c:v>
                </c:pt>
                <c:pt idx="54">
                  <c:v>1.98</c:v>
                </c:pt>
                <c:pt idx="55">
                  <c:v>2.56</c:v>
                </c:pt>
                <c:pt idx="56">
                  <c:v>2.0299999999999998</c:v>
                </c:pt>
                <c:pt idx="57">
                  <c:v>1.71</c:v>
                </c:pt>
                <c:pt idx="58">
                  <c:v>2.29</c:v>
                </c:pt>
                <c:pt idx="59">
                  <c:v>1.88</c:v>
                </c:pt>
                <c:pt idx="60">
                  <c:v>2.16</c:v>
                </c:pt>
                <c:pt idx="61">
                  <c:v>1.9</c:v>
                </c:pt>
                <c:pt idx="62">
                  <c:v>2.2400000000000002</c:v>
                </c:pt>
                <c:pt idx="63">
                  <c:v>2.04</c:v>
                </c:pt>
                <c:pt idx="64">
                  <c:v>1.07</c:v>
                </c:pt>
                <c:pt idx="65">
                  <c:v>2.23</c:v>
                </c:pt>
                <c:pt idx="66">
                  <c:v>0.8</c:v>
                </c:pt>
                <c:pt idx="67">
                  <c:v>2.0699999999999998</c:v>
                </c:pt>
                <c:pt idx="68">
                  <c:v>2.9</c:v>
                </c:pt>
                <c:pt idx="69">
                  <c:v>1.54</c:v>
                </c:pt>
                <c:pt idx="70">
                  <c:v>2.37</c:v>
                </c:pt>
                <c:pt idx="71">
                  <c:v>0.98</c:v>
                </c:pt>
                <c:pt idx="72">
                  <c:v>1.6</c:v>
                </c:pt>
                <c:pt idx="73">
                  <c:v>2.37</c:v>
                </c:pt>
                <c:pt idx="74">
                  <c:v>2.4900000000000002</c:v>
                </c:pt>
                <c:pt idx="75">
                  <c:v>2.69</c:v>
                </c:pt>
                <c:pt idx="76">
                  <c:v>1.27</c:v>
                </c:pt>
                <c:pt idx="77">
                  <c:v>2.31</c:v>
                </c:pt>
                <c:pt idx="78">
                  <c:v>1.31</c:v>
                </c:pt>
                <c:pt idx="79">
                  <c:v>2.12</c:v>
                </c:pt>
                <c:pt idx="80">
                  <c:v>1.81</c:v>
                </c:pt>
                <c:pt idx="81">
                  <c:v>2.0099999999999998</c:v>
                </c:pt>
                <c:pt idx="82">
                  <c:v>2.25</c:v>
                </c:pt>
                <c:pt idx="83">
                  <c:v>1.62</c:v>
                </c:pt>
                <c:pt idx="84">
                  <c:v>2.06</c:v>
                </c:pt>
                <c:pt idx="85">
                  <c:v>1.0900000000000001</c:v>
                </c:pt>
                <c:pt idx="86">
                  <c:v>1.18</c:v>
                </c:pt>
                <c:pt idx="87">
                  <c:v>2.4300000000000002</c:v>
                </c:pt>
                <c:pt idx="88">
                  <c:v>1.58</c:v>
                </c:pt>
                <c:pt idx="89">
                  <c:v>1.97</c:v>
                </c:pt>
                <c:pt idx="90">
                  <c:v>1.59</c:v>
                </c:pt>
                <c:pt idx="91">
                  <c:v>1.78</c:v>
                </c:pt>
                <c:pt idx="92">
                  <c:v>2.17</c:v>
                </c:pt>
                <c:pt idx="93">
                  <c:v>1.49</c:v>
                </c:pt>
                <c:pt idx="94">
                  <c:v>2.2999999999999998</c:v>
                </c:pt>
                <c:pt idx="95">
                  <c:v>1.41</c:v>
                </c:pt>
                <c:pt idx="96">
                  <c:v>2.5099999999999998</c:v>
                </c:pt>
                <c:pt idx="97">
                  <c:v>1.59</c:v>
                </c:pt>
                <c:pt idx="98">
                  <c:v>2.33</c:v>
                </c:pt>
                <c:pt idx="99">
                  <c:v>1.52</c:v>
                </c:pt>
              </c:numCache>
            </c:numRef>
          </c:xVal>
          <c:yVal>
            <c:numRef>
              <c:f>'Demo 3'!$G$2:$G$101</c:f>
              <c:numCache>
                <c:formatCode>General</c:formatCode>
                <c:ptCount val="100"/>
                <c:pt idx="0">
                  <c:v>32706</c:v>
                </c:pt>
                <c:pt idx="1">
                  <c:v>16104</c:v>
                </c:pt>
                <c:pt idx="2">
                  <c:v>30120</c:v>
                </c:pt>
                <c:pt idx="3">
                  <c:v>28301</c:v>
                </c:pt>
                <c:pt idx="4">
                  <c:v>12989</c:v>
                </c:pt>
                <c:pt idx="5">
                  <c:v>17140</c:v>
                </c:pt>
                <c:pt idx="6">
                  <c:v>26576</c:v>
                </c:pt>
                <c:pt idx="7">
                  <c:v>36523</c:v>
                </c:pt>
                <c:pt idx="8">
                  <c:v>30249</c:v>
                </c:pt>
                <c:pt idx="9">
                  <c:v>23030</c:v>
                </c:pt>
                <c:pt idx="10">
                  <c:v>17723</c:v>
                </c:pt>
                <c:pt idx="11">
                  <c:v>35833</c:v>
                </c:pt>
                <c:pt idx="12">
                  <c:v>25555</c:v>
                </c:pt>
                <c:pt idx="13">
                  <c:v>29229</c:v>
                </c:pt>
                <c:pt idx="14">
                  <c:v>17786</c:v>
                </c:pt>
                <c:pt idx="15">
                  <c:v>21531</c:v>
                </c:pt>
                <c:pt idx="16">
                  <c:v>30231</c:v>
                </c:pt>
                <c:pt idx="17">
                  <c:v>26898</c:v>
                </c:pt>
                <c:pt idx="18">
                  <c:v>36646</c:v>
                </c:pt>
                <c:pt idx="19">
                  <c:v>19584</c:v>
                </c:pt>
                <c:pt idx="20">
                  <c:v>35115</c:v>
                </c:pt>
                <c:pt idx="21">
                  <c:v>25915</c:v>
                </c:pt>
                <c:pt idx="22">
                  <c:v>35213</c:v>
                </c:pt>
                <c:pt idx="23">
                  <c:v>25668</c:v>
                </c:pt>
                <c:pt idx="24">
                  <c:v>22735</c:v>
                </c:pt>
                <c:pt idx="25">
                  <c:v>31001</c:v>
                </c:pt>
                <c:pt idx="26">
                  <c:v>23929</c:v>
                </c:pt>
                <c:pt idx="27">
                  <c:v>19281</c:v>
                </c:pt>
                <c:pt idx="28">
                  <c:v>23898</c:v>
                </c:pt>
                <c:pt idx="29">
                  <c:v>36861</c:v>
                </c:pt>
                <c:pt idx="30">
                  <c:v>27150</c:v>
                </c:pt>
                <c:pt idx="31">
                  <c:v>22672</c:v>
                </c:pt>
                <c:pt idx="32">
                  <c:v>31794</c:v>
                </c:pt>
                <c:pt idx="33">
                  <c:v>41331</c:v>
                </c:pt>
                <c:pt idx="34">
                  <c:v>24919</c:v>
                </c:pt>
                <c:pt idx="35">
                  <c:v>20199</c:v>
                </c:pt>
                <c:pt idx="36">
                  <c:v>29537</c:v>
                </c:pt>
                <c:pt idx="37">
                  <c:v>37863</c:v>
                </c:pt>
                <c:pt idx="38">
                  <c:v>28937</c:v>
                </c:pt>
                <c:pt idx="39">
                  <c:v>33643</c:v>
                </c:pt>
                <c:pt idx="40">
                  <c:v>42365</c:v>
                </c:pt>
                <c:pt idx="41">
                  <c:v>26497</c:v>
                </c:pt>
                <c:pt idx="42">
                  <c:v>18095</c:v>
                </c:pt>
                <c:pt idx="43">
                  <c:v>19793</c:v>
                </c:pt>
                <c:pt idx="44">
                  <c:v>30495</c:v>
                </c:pt>
                <c:pt idx="45">
                  <c:v>25852</c:v>
                </c:pt>
                <c:pt idx="46">
                  <c:v>41715</c:v>
                </c:pt>
                <c:pt idx="47">
                  <c:v>19262</c:v>
                </c:pt>
                <c:pt idx="48">
                  <c:v>16190</c:v>
                </c:pt>
                <c:pt idx="49">
                  <c:v>25895</c:v>
                </c:pt>
                <c:pt idx="50">
                  <c:v>39254</c:v>
                </c:pt>
                <c:pt idx="51">
                  <c:v>31115</c:v>
                </c:pt>
                <c:pt idx="52">
                  <c:v>24352</c:v>
                </c:pt>
                <c:pt idx="53">
                  <c:v>24233</c:v>
                </c:pt>
                <c:pt idx="54">
                  <c:v>26417</c:v>
                </c:pt>
                <c:pt idx="55">
                  <c:v>33033</c:v>
                </c:pt>
                <c:pt idx="56">
                  <c:v>25175</c:v>
                </c:pt>
                <c:pt idx="57">
                  <c:v>21842</c:v>
                </c:pt>
                <c:pt idx="58">
                  <c:v>29545</c:v>
                </c:pt>
                <c:pt idx="59">
                  <c:v>22636</c:v>
                </c:pt>
                <c:pt idx="60">
                  <c:v>24844</c:v>
                </c:pt>
                <c:pt idx="61">
                  <c:v>24485</c:v>
                </c:pt>
                <c:pt idx="62">
                  <c:v>28755</c:v>
                </c:pt>
                <c:pt idx="63">
                  <c:v>27383</c:v>
                </c:pt>
                <c:pt idx="64">
                  <c:v>17518</c:v>
                </c:pt>
                <c:pt idx="65">
                  <c:v>34657</c:v>
                </c:pt>
                <c:pt idx="66">
                  <c:v>8194</c:v>
                </c:pt>
                <c:pt idx="67">
                  <c:v>26832</c:v>
                </c:pt>
                <c:pt idx="68">
                  <c:v>39736</c:v>
                </c:pt>
                <c:pt idx="69">
                  <c:v>19086</c:v>
                </c:pt>
                <c:pt idx="70">
                  <c:v>36422</c:v>
                </c:pt>
                <c:pt idx="71">
                  <c:v>18339</c:v>
                </c:pt>
                <c:pt idx="72">
                  <c:v>21665</c:v>
                </c:pt>
                <c:pt idx="73">
                  <c:v>33414</c:v>
                </c:pt>
                <c:pt idx="74">
                  <c:v>39593</c:v>
                </c:pt>
                <c:pt idx="75">
                  <c:v>27165</c:v>
                </c:pt>
                <c:pt idx="76">
                  <c:v>22587</c:v>
                </c:pt>
                <c:pt idx="77">
                  <c:v>30939</c:v>
                </c:pt>
                <c:pt idx="78">
                  <c:v>18401</c:v>
                </c:pt>
                <c:pt idx="79">
                  <c:v>19424</c:v>
                </c:pt>
                <c:pt idx="80">
                  <c:v>17264</c:v>
                </c:pt>
                <c:pt idx="81">
                  <c:v>30751</c:v>
                </c:pt>
                <c:pt idx="82">
                  <c:v>26709</c:v>
                </c:pt>
                <c:pt idx="83">
                  <c:v>23611</c:v>
                </c:pt>
                <c:pt idx="84">
                  <c:v>26072</c:v>
                </c:pt>
                <c:pt idx="85">
                  <c:v>16357</c:v>
                </c:pt>
                <c:pt idx="86">
                  <c:v>15382</c:v>
                </c:pt>
                <c:pt idx="87">
                  <c:v>29791</c:v>
                </c:pt>
                <c:pt idx="88">
                  <c:v>17506</c:v>
                </c:pt>
                <c:pt idx="89">
                  <c:v>29977</c:v>
                </c:pt>
                <c:pt idx="90">
                  <c:v>19068</c:v>
                </c:pt>
                <c:pt idx="91">
                  <c:v>28443</c:v>
                </c:pt>
                <c:pt idx="92">
                  <c:v>27484</c:v>
                </c:pt>
                <c:pt idx="93">
                  <c:v>20869</c:v>
                </c:pt>
                <c:pt idx="94">
                  <c:v>31920</c:v>
                </c:pt>
                <c:pt idx="95">
                  <c:v>11519</c:v>
                </c:pt>
                <c:pt idx="96">
                  <c:v>30453</c:v>
                </c:pt>
                <c:pt idx="97">
                  <c:v>17143</c:v>
                </c:pt>
                <c:pt idx="98">
                  <c:v>34120</c:v>
                </c:pt>
                <c:pt idx="99">
                  <c:v>23320</c:v>
                </c:pt>
              </c:numCache>
            </c:numRef>
          </c:yVal>
          <c:smooth val="0"/>
          <c:extLst>
            <c:ext xmlns:c16="http://schemas.microsoft.com/office/drawing/2014/chart" uri="{C3380CC4-5D6E-409C-BE32-E72D297353CC}">
              <c16:uniqueId val="{00000003-245F-004E-84D6-26F8623D9135}"/>
            </c:ext>
          </c:extLst>
        </c:ser>
        <c:ser>
          <c:idx val="1"/>
          <c:order val="1"/>
          <c:tx>
            <c:v>Predicted Price_USD</c:v>
          </c:tx>
          <c:spPr>
            <a:ln w="19050">
              <a:noFill/>
            </a:ln>
          </c:spPr>
          <c:xVal>
            <c:numRef>
              <c:f>'Demo 3'!$C$2:$C$101</c:f>
              <c:numCache>
                <c:formatCode>General</c:formatCode>
                <c:ptCount val="100"/>
                <c:pt idx="0">
                  <c:v>2.67</c:v>
                </c:pt>
                <c:pt idx="1">
                  <c:v>1.38</c:v>
                </c:pt>
                <c:pt idx="2">
                  <c:v>2.06</c:v>
                </c:pt>
                <c:pt idx="3">
                  <c:v>1.29</c:v>
                </c:pt>
                <c:pt idx="4">
                  <c:v>1.1599999999999999</c:v>
                </c:pt>
                <c:pt idx="5">
                  <c:v>1.44</c:v>
                </c:pt>
                <c:pt idx="6">
                  <c:v>2.06</c:v>
                </c:pt>
                <c:pt idx="7">
                  <c:v>2.2999999999999998</c:v>
                </c:pt>
                <c:pt idx="8">
                  <c:v>2.36</c:v>
                </c:pt>
                <c:pt idx="9">
                  <c:v>1.94</c:v>
                </c:pt>
                <c:pt idx="10">
                  <c:v>1.64</c:v>
                </c:pt>
                <c:pt idx="11">
                  <c:v>2.16</c:v>
                </c:pt>
                <c:pt idx="12">
                  <c:v>1.43</c:v>
                </c:pt>
                <c:pt idx="13">
                  <c:v>1.72</c:v>
                </c:pt>
                <c:pt idx="14">
                  <c:v>1.76</c:v>
                </c:pt>
                <c:pt idx="15">
                  <c:v>1.79</c:v>
                </c:pt>
                <c:pt idx="16">
                  <c:v>1.95</c:v>
                </c:pt>
                <c:pt idx="17">
                  <c:v>1.77</c:v>
                </c:pt>
                <c:pt idx="18">
                  <c:v>2.41</c:v>
                </c:pt>
                <c:pt idx="19">
                  <c:v>1.71</c:v>
                </c:pt>
                <c:pt idx="20">
                  <c:v>2.4700000000000002</c:v>
                </c:pt>
                <c:pt idx="21">
                  <c:v>1.95</c:v>
                </c:pt>
                <c:pt idx="22">
                  <c:v>2.33</c:v>
                </c:pt>
                <c:pt idx="23">
                  <c:v>1.47</c:v>
                </c:pt>
                <c:pt idx="24">
                  <c:v>1.63</c:v>
                </c:pt>
                <c:pt idx="25">
                  <c:v>2.44</c:v>
                </c:pt>
                <c:pt idx="26">
                  <c:v>1.87</c:v>
                </c:pt>
                <c:pt idx="27">
                  <c:v>1.36</c:v>
                </c:pt>
                <c:pt idx="28">
                  <c:v>1.87</c:v>
                </c:pt>
                <c:pt idx="29">
                  <c:v>2.1800000000000002</c:v>
                </c:pt>
                <c:pt idx="30">
                  <c:v>2.16</c:v>
                </c:pt>
                <c:pt idx="31">
                  <c:v>1.99</c:v>
                </c:pt>
                <c:pt idx="32">
                  <c:v>1.78</c:v>
                </c:pt>
                <c:pt idx="33">
                  <c:v>2.6</c:v>
                </c:pt>
                <c:pt idx="34">
                  <c:v>2.3199999999999998</c:v>
                </c:pt>
                <c:pt idx="35">
                  <c:v>1.81</c:v>
                </c:pt>
                <c:pt idx="36">
                  <c:v>1.92</c:v>
                </c:pt>
                <c:pt idx="37">
                  <c:v>2.59</c:v>
                </c:pt>
                <c:pt idx="38">
                  <c:v>1.85</c:v>
                </c:pt>
                <c:pt idx="39">
                  <c:v>2.5499999999999998</c:v>
                </c:pt>
                <c:pt idx="40">
                  <c:v>2.56</c:v>
                </c:pt>
                <c:pt idx="41">
                  <c:v>2.33</c:v>
                </c:pt>
                <c:pt idx="42">
                  <c:v>1.68</c:v>
                </c:pt>
                <c:pt idx="43">
                  <c:v>1.84</c:v>
                </c:pt>
                <c:pt idx="44">
                  <c:v>1.88</c:v>
                </c:pt>
                <c:pt idx="45">
                  <c:v>1.69</c:v>
                </c:pt>
                <c:pt idx="46">
                  <c:v>3</c:v>
                </c:pt>
                <c:pt idx="47">
                  <c:v>1.28</c:v>
                </c:pt>
                <c:pt idx="48">
                  <c:v>1.1200000000000001</c:v>
                </c:pt>
                <c:pt idx="49">
                  <c:v>1.89</c:v>
                </c:pt>
                <c:pt idx="50">
                  <c:v>2.2000000000000002</c:v>
                </c:pt>
                <c:pt idx="51">
                  <c:v>2.91</c:v>
                </c:pt>
                <c:pt idx="52">
                  <c:v>2.09</c:v>
                </c:pt>
                <c:pt idx="53">
                  <c:v>1.87</c:v>
                </c:pt>
                <c:pt idx="54">
                  <c:v>1.98</c:v>
                </c:pt>
                <c:pt idx="55">
                  <c:v>2.56</c:v>
                </c:pt>
                <c:pt idx="56">
                  <c:v>2.0299999999999998</c:v>
                </c:pt>
                <c:pt idx="57">
                  <c:v>1.71</c:v>
                </c:pt>
                <c:pt idx="58">
                  <c:v>2.29</c:v>
                </c:pt>
                <c:pt idx="59">
                  <c:v>1.88</c:v>
                </c:pt>
                <c:pt idx="60">
                  <c:v>2.16</c:v>
                </c:pt>
                <c:pt idx="61">
                  <c:v>1.9</c:v>
                </c:pt>
                <c:pt idx="62">
                  <c:v>2.2400000000000002</c:v>
                </c:pt>
                <c:pt idx="63">
                  <c:v>2.04</c:v>
                </c:pt>
                <c:pt idx="64">
                  <c:v>1.07</c:v>
                </c:pt>
                <c:pt idx="65">
                  <c:v>2.23</c:v>
                </c:pt>
                <c:pt idx="66">
                  <c:v>0.8</c:v>
                </c:pt>
                <c:pt idx="67">
                  <c:v>2.0699999999999998</c:v>
                </c:pt>
                <c:pt idx="68">
                  <c:v>2.9</c:v>
                </c:pt>
                <c:pt idx="69">
                  <c:v>1.54</c:v>
                </c:pt>
                <c:pt idx="70">
                  <c:v>2.37</c:v>
                </c:pt>
                <c:pt idx="71">
                  <c:v>0.98</c:v>
                </c:pt>
                <c:pt idx="72">
                  <c:v>1.6</c:v>
                </c:pt>
                <c:pt idx="73">
                  <c:v>2.37</c:v>
                </c:pt>
                <c:pt idx="74">
                  <c:v>2.4900000000000002</c:v>
                </c:pt>
                <c:pt idx="75">
                  <c:v>2.69</c:v>
                </c:pt>
                <c:pt idx="76">
                  <c:v>1.27</c:v>
                </c:pt>
                <c:pt idx="77">
                  <c:v>2.31</c:v>
                </c:pt>
                <c:pt idx="78">
                  <c:v>1.31</c:v>
                </c:pt>
                <c:pt idx="79">
                  <c:v>2.12</c:v>
                </c:pt>
                <c:pt idx="80">
                  <c:v>1.81</c:v>
                </c:pt>
                <c:pt idx="81">
                  <c:v>2.0099999999999998</c:v>
                </c:pt>
                <c:pt idx="82">
                  <c:v>2.25</c:v>
                </c:pt>
                <c:pt idx="83">
                  <c:v>1.62</c:v>
                </c:pt>
                <c:pt idx="84">
                  <c:v>2.06</c:v>
                </c:pt>
                <c:pt idx="85">
                  <c:v>1.0900000000000001</c:v>
                </c:pt>
                <c:pt idx="86">
                  <c:v>1.18</c:v>
                </c:pt>
                <c:pt idx="87">
                  <c:v>2.4300000000000002</c:v>
                </c:pt>
                <c:pt idx="88">
                  <c:v>1.58</c:v>
                </c:pt>
                <c:pt idx="89">
                  <c:v>1.97</c:v>
                </c:pt>
                <c:pt idx="90">
                  <c:v>1.59</c:v>
                </c:pt>
                <c:pt idx="91">
                  <c:v>1.78</c:v>
                </c:pt>
                <c:pt idx="92">
                  <c:v>2.17</c:v>
                </c:pt>
                <c:pt idx="93">
                  <c:v>1.49</c:v>
                </c:pt>
                <c:pt idx="94">
                  <c:v>2.2999999999999998</c:v>
                </c:pt>
                <c:pt idx="95">
                  <c:v>1.41</c:v>
                </c:pt>
                <c:pt idx="96">
                  <c:v>2.5099999999999998</c:v>
                </c:pt>
                <c:pt idx="97">
                  <c:v>1.59</c:v>
                </c:pt>
                <c:pt idx="98">
                  <c:v>2.33</c:v>
                </c:pt>
                <c:pt idx="99">
                  <c:v>1.52</c:v>
                </c:pt>
              </c:numCache>
            </c:numRef>
          </c:xVal>
          <c:yVal>
            <c:numRef>
              <c:f>'Demo 3_Result'!$B$28:$B$127</c:f>
              <c:numCache>
                <c:formatCode>General</c:formatCode>
                <c:ptCount val="100"/>
                <c:pt idx="0">
                  <c:v>32704.46494446653</c:v>
                </c:pt>
                <c:pt idx="1">
                  <c:v>17524.269829875164</c:v>
                </c:pt>
                <c:pt idx="2">
                  <c:v>31736.363685919197</c:v>
                </c:pt>
                <c:pt idx="3">
                  <c:v>20916.00051147243</c:v>
                </c:pt>
                <c:pt idx="4">
                  <c:v>11777.122250712806</c:v>
                </c:pt>
                <c:pt idx="5">
                  <c:v>19092.142577158636</c:v>
                </c:pt>
                <c:pt idx="6">
                  <c:v>23946.311444226179</c:v>
                </c:pt>
                <c:pt idx="7">
                  <c:v>35681.333410565334</c:v>
                </c:pt>
                <c:pt idx="8">
                  <c:v>31680.297058722412</c:v>
                </c:pt>
                <c:pt idx="9">
                  <c:v>23697.994959972562</c:v>
                </c:pt>
                <c:pt idx="10">
                  <c:v>19662.552891270367</c:v>
                </c:pt>
                <c:pt idx="11">
                  <c:v>33216.386935949253</c:v>
                </c:pt>
                <c:pt idx="12">
                  <c:v>24037.156004377612</c:v>
                </c:pt>
                <c:pt idx="13">
                  <c:v>24577.277539421404</c:v>
                </c:pt>
                <c:pt idx="14">
                  <c:v>20687.803765834775</c:v>
                </c:pt>
                <c:pt idx="15">
                  <c:v>19007.272649287122</c:v>
                </c:pt>
                <c:pt idx="16">
                  <c:v>31452.863780687032</c:v>
                </c:pt>
                <c:pt idx="17">
                  <c:v>27032.332340122579</c:v>
                </c:pt>
                <c:pt idx="18">
                  <c:v>36268.131231827982</c:v>
                </c:pt>
                <c:pt idx="19">
                  <c:v>22766.382015097595</c:v>
                </c:pt>
                <c:pt idx="20">
                  <c:v>33602.842022617413</c:v>
                </c:pt>
                <c:pt idx="21">
                  <c:v>28297.435755144706</c:v>
                </c:pt>
                <c:pt idx="22">
                  <c:v>33787.221155049207</c:v>
                </c:pt>
                <c:pt idx="23">
                  <c:v>23919.039204193054</c:v>
                </c:pt>
                <c:pt idx="24">
                  <c:v>21609.12514786578</c:v>
                </c:pt>
                <c:pt idx="25">
                  <c:v>28184.403550846946</c:v>
                </c:pt>
                <c:pt idx="26">
                  <c:v>23045.499162179367</c:v>
                </c:pt>
                <c:pt idx="27">
                  <c:v>16205.058341594826</c:v>
                </c:pt>
                <c:pt idx="28">
                  <c:v>24997.869788886641</c:v>
                </c:pt>
                <c:pt idx="29">
                  <c:v>34873.338232119488</c:v>
                </c:pt>
                <c:pt idx="30">
                  <c:v>27698.11908655685</c:v>
                </c:pt>
                <c:pt idx="31">
                  <c:v>26392.286097783224</c:v>
                </c:pt>
                <c:pt idx="32">
                  <c:v>25730.668804708672</c:v>
                </c:pt>
                <c:pt idx="33">
                  <c:v>43128.422856543926</c:v>
                </c:pt>
                <c:pt idx="34">
                  <c:v>28601.105712850054</c:v>
                </c:pt>
                <c:pt idx="35">
                  <c:v>19570.796984908317</c:v>
                </c:pt>
                <c:pt idx="36">
                  <c:v>28338.039237528523</c:v>
                </c:pt>
                <c:pt idx="37">
                  <c:v>35150.245157905287</c:v>
                </c:pt>
                <c:pt idx="38">
                  <c:v>26992.077083645068</c:v>
                </c:pt>
                <c:pt idx="39">
                  <c:v>35042.338657301094</c:v>
                </c:pt>
                <c:pt idx="40">
                  <c:v>37347.78068622922</c:v>
                </c:pt>
                <c:pt idx="41">
                  <c:v>29660.501624344564</c:v>
                </c:pt>
                <c:pt idx="42">
                  <c:v>26003.176640509264</c:v>
                </c:pt>
                <c:pt idx="43">
                  <c:v>19304.390274791524</c:v>
                </c:pt>
                <c:pt idx="44">
                  <c:v>27336.072426315353</c:v>
                </c:pt>
                <c:pt idx="45">
                  <c:v>27428.053449958039</c:v>
                </c:pt>
                <c:pt idx="46">
                  <c:v>41641.487261923219</c:v>
                </c:pt>
                <c:pt idx="47">
                  <c:v>15268.550172036301</c:v>
                </c:pt>
                <c:pt idx="48">
                  <c:v>13591.851310144906</c:v>
                </c:pt>
                <c:pt idx="49">
                  <c:v>29191.536058051955</c:v>
                </c:pt>
                <c:pt idx="50">
                  <c:v>32969.64397653073</c:v>
                </c:pt>
                <c:pt idx="51">
                  <c:v>36791.855826354702</c:v>
                </c:pt>
                <c:pt idx="52">
                  <c:v>25735.005585522871</c:v>
                </c:pt>
                <c:pt idx="53">
                  <c:v>22747.13759563744</c:v>
                </c:pt>
                <c:pt idx="54">
                  <c:v>26540.114467802461</c:v>
                </c:pt>
                <c:pt idx="55">
                  <c:v>31731.030728082842</c:v>
                </c:pt>
                <c:pt idx="56">
                  <c:v>30671.072656266588</c:v>
                </c:pt>
                <c:pt idx="57">
                  <c:v>24416.341674459898</c:v>
                </c:pt>
                <c:pt idx="58">
                  <c:v>28908.699406717165</c:v>
                </c:pt>
                <c:pt idx="59">
                  <c:v>25510.819125378064</c:v>
                </c:pt>
                <c:pt idx="60">
                  <c:v>23238.31124580012</c:v>
                </c:pt>
                <c:pt idx="61">
                  <c:v>24816.902500891596</c:v>
                </c:pt>
                <c:pt idx="62">
                  <c:v>30494.471436574178</c:v>
                </c:pt>
                <c:pt idx="63">
                  <c:v>22856.926148515482</c:v>
                </c:pt>
                <c:pt idx="64">
                  <c:v>16639.496160092571</c:v>
                </c:pt>
                <c:pt idx="65">
                  <c:v>31993.332918328604</c:v>
                </c:pt>
                <c:pt idx="66">
                  <c:v>9919.7242049841589</c:v>
                </c:pt>
                <c:pt idx="67">
                  <c:v>27487.887848226805</c:v>
                </c:pt>
                <c:pt idx="68">
                  <c:v>36528.729681256656</c:v>
                </c:pt>
                <c:pt idx="69">
                  <c:v>20978.801496171618</c:v>
                </c:pt>
                <c:pt idx="70">
                  <c:v>33720.569874895511</c:v>
                </c:pt>
                <c:pt idx="71">
                  <c:v>15118.279378303048</c:v>
                </c:pt>
                <c:pt idx="72">
                  <c:v>19740.987163864189</c:v>
                </c:pt>
                <c:pt idx="73">
                  <c:v>33773.189515964987</c:v>
                </c:pt>
                <c:pt idx="74">
                  <c:v>37807.335352409908</c:v>
                </c:pt>
                <c:pt idx="75">
                  <c:v>28788.788290144548</c:v>
                </c:pt>
                <c:pt idx="76">
                  <c:v>21817.84672589273</c:v>
                </c:pt>
                <c:pt idx="77">
                  <c:v>32060.646546033775</c:v>
                </c:pt>
                <c:pt idx="78">
                  <c:v>21546.866355887905</c:v>
                </c:pt>
                <c:pt idx="79">
                  <c:v>22405.327526399211</c:v>
                </c:pt>
                <c:pt idx="80">
                  <c:v>23447.478680315318</c:v>
                </c:pt>
                <c:pt idx="81">
                  <c:v>26601.225926808525</c:v>
                </c:pt>
                <c:pt idx="82">
                  <c:v>26955.599335213381</c:v>
                </c:pt>
                <c:pt idx="83">
                  <c:v>22961.652281107614</c:v>
                </c:pt>
                <c:pt idx="84">
                  <c:v>28666.351622325808</c:v>
                </c:pt>
                <c:pt idx="85">
                  <c:v>16213.3126072209</c:v>
                </c:pt>
                <c:pt idx="86">
                  <c:v>14834.416434190845</c:v>
                </c:pt>
                <c:pt idx="87">
                  <c:v>32293.799438048427</c:v>
                </c:pt>
                <c:pt idx="88">
                  <c:v>18342.036997880517</c:v>
                </c:pt>
                <c:pt idx="89">
                  <c:v>29332.125497090416</c:v>
                </c:pt>
                <c:pt idx="90">
                  <c:v>22103.963795728672</c:v>
                </c:pt>
                <c:pt idx="91">
                  <c:v>28160.228955389899</c:v>
                </c:pt>
                <c:pt idx="92">
                  <c:v>28214.306335803929</c:v>
                </c:pt>
                <c:pt idx="93">
                  <c:v>20695.603526757131</c:v>
                </c:pt>
                <c:pt idx="94">
                  <c:v>26679.808773466255</c:v>
                </c:pt>
                <c:pt idx="95">
                  <c:v>17221.898042022614</c:v>
                </c:pt>
                <c:pt idx="96">
                  <c:v>31218.333613818821</c:v>
                </c:pt>
                <c:pt idx="97">
                  <c:v>21620.406121663131</c:v>
                </c:pt>
                <c:pt idx="98">
                  <c:v>35076.536473667438</c:v>
                </c:pt>
                <c:pt idx="99">
                  <c:v>25574.982356589637</c:v>
                </c:pt>
              </c:numCache>
            </c:numRef>
          </c:yVal>
          <c:smooth val="0"/>
          <c:extLst>
            <c:ext xmlns:c16="http://schemas.microsoft.com/office/drawing/2014/chart" uri="{C3380CC4-5D6E-409C-BE32-E72D297353CC}">
              <c16:uniqueId val="{00000004-245F-004E-84D6-26F8623D9135}"/>
            </c:ext>
          </c:extLst>
        </c:ser>
        <c:dLbls>
          <c:showLegendKey val="0"/>
          <c:showVal val="0"/>
          <c:showCatName val="0"/>
          <c:showSerName val="0"/>
          <c:showPercent val="0"/>
          <c:showBubbleSize val="0"/>
        </c:dLbls>
        <c:axId val="2008594864"/>
        <c:axId val="2008596512"/>
      </c:scatterChart>
      <c:valAx>
        <c:axId val="2008594864"/>
        <c:scaling>
          <c:orientation val="minMax"/>
        </c:scaling>
        <c:delete val="0"/>
        <c:axPos val="b"/>
        <c:title>
          <c:tx>
            <c:rich>
              <a:bodyPr/>
              <a:lstStyle/>
              <a:p>
                <a:pPr>
                  <a:defRPr/>
                </a:pPr>
                <a:r>
                  <a:rPr lang="en-US"/>
                  <a:t>EngineSize_L</a:t>
                </a:r>
              </a:p>
            </c:rich>
          </c:tx>
          <c:overlay val="0"/>
        </c:title>
        <c:numFmt formatCode="General" sourceLinked="1"/>
        <c:majorTickMark val="out"/>
        <c:minorTickMark val="none"/>
        <c:tickLblPos val="nextTo"/>
        <c:crossAx val="2008596512"/>
        <c:crosses val="autoZero"/>
        <c:crossBetween val="midCat"/>
      </c:valAx>
      <c:valAx>
        <c:axId val="2008596512"/>
        <c:scaling>
          <c:orientation val="minMax"/>
        </c:scaling>
        <c:delete val="0"/>
        <c:axPos val="l"/>
        <c:title>
          <c:tx>
            <c:rich>
              <a:bodyPr/>
              <a:lstStyle/>
              <a:p>
                <a:pPr>
                  <a:defRPr/>
                </a:pPr>
                <a:r>
                  <a:rPr lang="en-US"/>
                  <a:t>Price_USD</a:t>
                </a:r>
              </a:p>
            </c:rich>
          </c:tx>
          <c:overlay val="0"/>
        </c:title>
        <c:numFmt formatCode="General" sourceLinked="1"/>
        <c:majorTickMark val="out"/>
        <c:minorTickMark val="none"/>
        <c:tickLblPos val="nextTo"/>
        <c:crossAx val="2008594864"/>
        <c:crosses val="autoZero"/>
        <c:crossBetween val="midCat"/>
      </c:valAx>
    </c:plotArea>
    <c:legend>
      <c:legendPos val="r"/>
      <c:overlay val="0"/>
    </c:legend>
    <c:plotVisOnly val="1"/>
    <c:dispBlanksAs val="gap"/>
    <c:showDLblsOverMax val="0"/>
    <c:extLst>
      <c:ext xmlns:c16r3="http://schemas.microsoft.com/office/drawing/2017/03/chart" uri="{56B9EC1D-385E-4148-901F-78D8002777C0}">
        <c16r3:dataDisplayOptions16>
          <c16r3:dispNaAsBlank val="1"/>
        </c16r3:dataDisplayOptions16>
      </c:ext>
    </c:extLst>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Horsepower_hp Line Fit  Plot</a:t>
            </a:r>
          </a:p>
        </c:rich>
      </c:tx>
      <c:overlay val="0"/>
    </c:title>
    <c:autoTitleDeleted val="0"/>
    <c:plotArea>
      <c:layout/>
      <c:scatterChart>
        <c:scatterStyle val="lineMarker"/>
        <c:varyColors val="0"/>
        <c:ser>
          <c:idx val="0"/>
          <c:order val="0"/>
          <c:tx>
            <c:v>Price_USD</c:v>
          </c:tx>
          <c:spPr>
            <a:ln w="19050">
              <a:noFill/>
            </a:ln>
          </c:spPr>
          <c:xVal>
            <c:strRef>
              <c:f>'Demo 3_Result'!$D$2:$D$101</c:f>
              <c:strCache>
                <c:ptCount val="20"/>
                <c:pt idx="9">
                  <c:v>MS</c:v>
                </c:pt>
                <c:pt idx="10">
                  <c:v>1091536430</c:v>
                </c:pt>
                <c:pt idx="11">
                  <c:v>8307017.114</c:v>
                </c:pt>
                <c:pt idx="14">
                  <c:v>t Stat</c:v>
                </c:pt>
                <c:pt idx="15">
                  <c:v>2.103555281</c:v>
                </c:pt>
                <c:pt idx="16">
                  <c:v>3.604106557</c:v>
                </c:pt>
                <c:pt idx="17">
                  <c:v>10.06943751</c:v>
                </c:pt>
                <c:pt idx="18">
                  <c:v>-0.866464108</c:v>
                </c:pt>
                <c:pt idx="19">
                  <c:v>-1.987044743</c:v>
                </c:pt>
              </c:strCache>
            </c:strRef>
          </c:xVal>
          <c:yVal>
            <c:numRef>
              <c:f>'Demo 3'!$G$2:$G$101</c:f>
              <c:numCache>
                <c:formatCode>General</c:formatCode>
                <c:ptCount val="100"/>
                <c:pt idx="0">
                  <c:v>32706</c:v>
                </c:pt>
                <c:pt idx="1">
                  <c:v>16104</c:v>
                </c:pt>
                <c:pt idx="2">
                  <c:v>30120</c:v>
                </c:pt>
                <c:pt idx="3">
                  <c:v>28301</c:v>
                </c:pt>
                <c:pt idx="4">
                  <c:v>12989</c:v>
                </c:pt>
                <c:pt idx="5">
                  <c:v>17140</c:v>
                </c:pt>
                <c:pt idx="6">
                  <c:v>26576</c:v>
                </c:pt>
                <c:pt idx="7">
                  <c:v>36523</c:v>
                </c:pt>
                <c:pt idx="8">
                  <c:v>30249</c:v>
                </c:pt>
                <c:pt idx="9">
                  <c:v>23030</c:v>
                </c:pt>
                <c:pt idx="10">
                  <c:v>17723</c:v>
                </c:pt>
                <c:pt idx="11">
                  <c:v>35833</c:v>
                </c:pt>
                <c:pt idx="12">
                  <c:v>25555</c:v>
                </c:pt>
                <c:pt idx="13">
                  <c:v>29229</c:v>
                </c:pt>
                <c:pt idx="14">
                  <c:v>17786</c:v>
                </c:pt>
                <c:pt idx="15">
                  <c:v>21531</c:v>
                </c:pt>
                <c:pt idx="16">
                  <c:v>30231</c:v>
                </c:pt>
                <c:pt idx="17">
                  <c:v>26898</c:v>
                </c:pt>
                <c:pt idx="18">
                  <c:v>36646</c:v>
                </c:pt>
                <c:pt idx="19">
                  <c:v>19584</c:v>
                </c:pt>
                <c:pt idx="20">
                  <c:v>35115</c:v>
                </c:pt>
                <c:pt idx="21">
                  <c:v>25915</c:v>
                </c:pt>
                <c:pt idx="22">
                  <c:v>35213</c:v>
                </c:pt>
                <c:pt idx="23">
                  <c:v>25668</c:v>
                </c:pt>
                <c:pt idx="24">
                  <c:v>22735</c:v>
                </c:pt>
                <c:pt idx="25">
                  <c:v>31001</c:v>
                </c:pt>
                <c:pt idx="26">
                  <c:v>23929</c:v>
                </c:pt>
                <c:pt idx="27">
                  <c:v>19281</c:v>
                </c:pt>
                <c:pt idx="28">
                  <c:v>23898</c:v>
                </c:pt>
                <c:pt idx="29">
                  <c:v>36861</c:v>
                </c:pt>
                <c:pt idx="30">
                  <c:v>27150</c:v>
                </c:pt>
                <c:pt idx="31">
                  <c:v>22672</c:v>
                </c:pt>
                <c:pt idx="32">
                  <c:v>31794</c:v>
                </c:pt>
                <c:pt idx="33">
                  <c:v>41331</c:v>
                </c:pt>
                <c:pt idx="34">
                  <c:v>24919</c:v>
                </c:pt>
                <c:pt idx="35">
                  <c:v>20199</c:v>
                </c:pt>
                <c:pt idx="36">
                  <c:v>29537</c:v>
                </c:pt>
                <c:pt idx="37">
                  <c:v>37863</c:v>
                </c:pt>
                <c:pt idx="38">
                  <c:v>28937</c:v>
                </c:pt>
                <c:pt idx="39">
                  <c:v>33643</c:v>
                </c:pt>
                <c:pt idx="40">
                  <c:v>42365</c:v>
                </c:pt>
                <c:pt idx="41">
                  <c:v>26497</c:v>
                </c:pt>
                <c:pt idx="42">
                  <c:v>18095</c:v>
                </c:pt>
                <c:pt idx="43">
                  <c:v>19793</c:v>
                </c:pt>
                <c:pt idx="44">
                  <c:v>30495</c:v>
                </c:pt>
                <c:pt idx="45">
                  <c:v>25852</c:v>
                </c:pt>
                <c:pt idx="46">
                  <c:v>41715</c:v>
                </c:pt>
                <c:pt idx="47">
                  <c:v>19262</c:v>
                </c:pt>
                <c:pt idx="48">
                  <c:v>16190</c:v>
                </c:pt>
                <c:pt idx="49">
                  <c:v>25895</c:v>
                </c:pt>
                <c:pt idx="50">
                  <c:v>39254</c:v>
                </c:pt>
                <c:pt idx="51">
                  <c:v>31115</c:v>
                </c:pt>
                <c:pt idx="52">
                  <c:v>24352</c:v>
                </c:pt>
                <c:pt idx="53">
                  <c:v>24233</c:v>
                </c:pt>
                <c:pt idx="54">
                  <c:v>26417</c:v>
                </c:pt>
                <c:pt idx="55">
                  <c:v>33033</c:v>
                </c:pt>
                <c:pt idx="56">
                  <c:v>25175</c:v>
                </c:pt>
                <c:pt idx="57">
                  <c:v>21842</c:v>
                </c:pt>
                <c:pt idx="58">
                  <c:v>29545</c:v>
                </c:pt>
                <c:pt idx="59">
                  <c:v>22636</c:v>
                </c:pt>
                <c:pt idx="60">
                  <c:v>24844</c:v>
                </c:pt>
                <c:pt idx="61">
                  <c:v>24485</c:v>
                </c:pt>
                <c:pt idx="62">
                  <c:v>28755</c:v>
                </c:pt>
                <c:pt idx="63">
                  <c:v>27383</c:v>
                </c:pt>
                <c:pt idx="64">
                  <c:v>17518</c:v>
                </c:pt>
                <c:pt idx="65">
                  <c:v>34657</c:v>
                </c:pt>
                <c:pt idx="66">
                  <c:v>8194</c:v>
                </c:pt>
                <c:pt idx="67">
                  <c:v>26832</c:v>
                </c:pt>
                <c:pt idx="68">
                  <c:v>39736</c:v>
                </c:pt>
                <c:pt idx="69">
                  <c:v>19086</c:v>
                </c:pt>
                <c:pt idx="70">
                  <c:v>36422</c:v>
                </c:pt>
                <c:pt idx="71">
                  <c:v>18339</c:v>
                </c:pt>
                <c:pt idx="72">
                  <c:v>21665</c:v>
                </c:pt>
                <c:pt idx="73">
                  <c:v>33414</c:v>
                </c:pt>
                <c:pt idx="74">
                  <c:v>39593</c:v>
                </c:pt>
                <c:pt idx="75">
                  <c:v>27165</c:v>
                </c:pt>
                <c:pt idx="76">
                  <c:v>22587</c:v>
                </c:pt>
                <c:pt idx="77">
                  <c:v>30939</c:v>
                </c:pt>
                <c:pt idx="78">
                  <c:v>18401</c:v>
                </c:pt>
                <c:pt idx="79">
                  <c:v>19424</c:v>
                </c:pt>
                <c:pt idx="80">
                  <c:v>17264</c:v>
                </c:pt>
                <c:pt idx="81">
                  <c:v>30751</c:v>
                </c:pt>
                <c:pt idx="82">
                  <c:v>26709</c:v>
                </c:pt>
                <c:pt idx="83">
                  <c:v>23611</c:v>
                </c:pt>
                <c:pt idx="84">
                  <c:v>26072</c:v>
                </c:pt>
                <c:pt idx="85">
                  <c:v>16357</c:v>
                </c:pt>
                <c:pt idx="86">
                  <c:v>15382</c:v>
                </c:pt>
                <c:pt idx="87">
                  <c:v>29791</c:v>
                </c:pt>
                <c:pt idx="88">
                  <c:v>17506</c:v>
                </c:pt>
                <c:pt idx="89">
                  <c:v>29977</c:v>
                </c:pt>
                <c:pt idx="90">
                  <c:v>19068</c:v>
                </c:pt>
                <c:pt idx="91">
                  <c:v>28443</c:v>
                </c:pt>
                <c:pt idx="92">
                  <c:v>27484</c:v>
                </c:pt>
                <c:pt idx="93">
                  <c:v>20869</c:v>
                </c:pt>
                <c:pt idx="94">
                  <c:v>31920</c:v>
                </c:pt>
                <c:pt idx="95">
                  <c:v>11519</c:v>
                </c:pt>
                <c:pt idx="96">
                  <c:v>30453</c:v>
                </c:pt>
                <c:pt idx="97">
                  <c:v>17143</c:v>
                </c:pt>
                <c:pt idx="98">
                  <c:v>34120</c:v>
                </c:pt>
                <c:pt idx="99">
                  <c:v>23320</c:v>
                </c:pt>
              </c:numCache>
            </c:numRef>
          </c:yVal>
          <c:smooth val="0"/>
          <c:extLst>
            <c:ext xmlns:c16="http://schemas.microsoft.com/office/drawing/2014/chart" uri="{C3380CC4-5D6E-409C-BE32-E72D297353CC}">
              <c16:uniqueId val="{00000001-3BD5-BE48-8BF4-4DE6BEB5124E}"/>
            </c:ext>
          </c:extLst>
        </c:ser>
        <c:ser>
          <c:idx val="1"/>
          <c:order val="1"/>
          <c:tx>
            <c:v>Predicted Price_USD</c:v>
          </c:tx>
          <c:spPr>
            <a:ln w="19050">
              <a:noFill/>
            </a:ln>
          </c:spPr>
          <c:xVal>
            <c:strRef>
              <c:f>'Demo 3_Result'!$D$2:$D$101</c:f>
              <c:strCache>
                <c:ptCount val="20"/>
                <c:pt idx="9">
                  <c:v>MS</c:v>
                </c:pt>
                <c:pt idx="10">
                  <c:v>1091536430</c:v>
                </c:pt>
                <c:pt idx="11">
                  <c:v>8307017.114</c:v>
                </c:pt>
                <c:pt idx="14">
                  <c:v>t Stat</c:v>
                </c:pt>
                <c:pt idx="15">
                  <c:v>2.103555281</c:v>
                </c:pt>
                <c:pt idx="16">
                  <c:v>3.604106557</c:v>
                </c:pt>
                <c:pt idx="17">
                  <c:v>10.06943751</c:v>
                </c:pt>
                <c:pt idx="18">
                  <c:v>-0.866464108</c:v>
                </c:pt>
                <c:pt idx="19">
                  <c:v>-1.987044743</c:v>
                </c:pt>
              </c:strCache>
            </c:strRef>
          </c:xVal>
          <c:yVal>
            <c:numRef>
              <c:f>'Demo 3_Result'!$B$28:$B$127</c:f>
              <c:numCache>
                <c:formatCode>General</c:formatCode>
                <c:ptCount val="100"/>
                <c:pt idx="0">
                  <c:v>32704.46494446653</c:v>
                </c:pt>
                <c:pt idx="1">
                  <c:v>17524.269829875164</c:v>
                </c:pt>
                <c:pt idx="2">
                  <c:v>31736.363685919197</c:v>
                </c:pt>
                <c:pt idx="3">
                  <c:v>20916.00051147243</c:v>
                </c:pt>
                <c:pt idx="4">
                  <c:v>11777.122250712806</c:v>
                </c:pt>
                <c:pt idx="5">
                  <c:v>19092.142577158636</c:v>
                </c:pt>
                <c:pt idx="6">
                  <c:v>23946.311444226179</c:v>
                </c:pt>
                <c:pt idx="7">
                  <c:v>35681.333410565334</c:v>
                </c:pt>
                <c:pt idx="8">
                  <c:v>31680.297058722412</c:v>
                </c:pt>
                <c:pt idx="9">
                  <c:v>23697.994959972562</c:v>
                </c:pt>
                <c:pt idx="10">
                  <c:v>19662.552891270367</c:v>
                </c:pt>
                <c:pt idx="11">
                  <c:v>33216.386935949253</c:v>
                </c:pt>
                <c:pt idx="12">
                  <c:v>24037.156004377612</c:v>
                </c:pt>
                <c:pt idx="13">
                  <c:v>24577.277539421404</c:v>
                </c:pt>
                <c:pt idx="14">
                  <c:v>20687.803765834775</c:v>
                </c:pt>
                <c:pt idx="15">
                  <c:v>19007.272649287122</c:v>
                </c:pt>
                <c:pt idx="16">
                  <c:v>31452.863780687032</c:v>
                </c:pt>
                <c:pt idx="17">
                  <c:v>27032.332340122579</c:v>
                </c:pt>
                <c:pt idx="18">
                  <c:v>36268.131231827982</c:v>
                </c:pt>
                <c:pt idx="19">
                  <c:v>22766.382015097595</c:v>
                </c:pt>
                <c:pt idx="20">
                  <c:v>33602.842022617413</c:v>
                </c:pt>
                <c:pt idx="21">
                  <c:v>28297.435755144706</c:v>
                </c:pt>
                <c:pt idx="22">
                  <c:v>33787.221155049207</c:v>
                </c:pt>
                <c:pt idx="23">
                  <c:v>23919.039204193054</c:v>
                </c:pt>
                <c:pt idx="24">
                  <c:v>21609.12514786578</c:v>
                </c:pt>
                <c:pt idx="25">
                  <c:v>28184.403550846946</c:v>
                </c:pt>
                <c:pt idx="26">
                  <c:v>23045.499162179367</c:v>
                </c:pt>
                <c:pt idx="27">
                  <c:v>16205.058341594826</c:v>
                </c:pt>
                <c:pt idx="28">
                  <c:v>24997.869788886641</c:v>
                </c:pt>
                <c:pt idx="29">
                  <c:v>34873.338232119488</c:v>
                </c:pt>
                <c:pt idx="30">
                  <c:v>27698.11908655685</c:v>
                </c:pt>
                <c:pt idx="31">
                  <c:v>26392.286097783224</c:v>
                </c:pt>
                <c:pt idx="32">
                  <c:v>25730.668804708672</c:v>
                </c:pt>
                <c:pt idx="33">
                  <c:v>43128.422856543926</c:v>
                </c:pt>
                <c:pt idx="34">
                  <c:v>28601.105712850054</c:v>
                </c:pt>
                <c:pt idx="35">
                  <c:v>19570.796984908317</c:v>
                </c:pt>
                <c:pt idx="36">
                  <c:v>28338.039237528523</c:v>
                </c:pt>
                <c:pt idx="37">
                  <c:v>35150.245157905287</c:v>
                </c:pt>
                <c:pt idx="38">
                  <c:v>26992.077083645068</c:v>
                </c:pt>
                <c:pt idx="39">
                  <c:v>35042.338657301094</c:v>
                </c:pt>
                <c:pt idx="40">
                  <c:v>37347.78068622922</c:v>
                </c:pt>
                <c:pt idx="41">
                  <c:v>29660.501624344564</c:v>
                </c:pt>
                <c:pt idx="42">
                  <c:v>26003.176640509264</c:v>
                </c:pt>
                <c:pt idx="43">
                  <c:v>19304.390274791524</c:v>
                </c:pt>
                <c:pt idx="44">
                  <c:v>27336.072426315353</c:v>
                </c:pt>
                <c:pt idx="45">
                  <c:v>27428.053449958039</c:v>
                </c:pt>
                <c:pt idx="46">
                  <c:v>41641.487261923219</c:v>
                </c:pt>
                <c:pt idx="47">
                  <c:v>15268.550172036301</c:v>
                </c:pt>
                <c:pt idx="48">
                  <c:v>13591.851310144906</c:v>
                </c:pt>
                <c:pt idx="49">
                  <c:v>29191.536058051955</c:v>
                </c:pt>
                <c:pt idx="50">
                  <c:v>32969.64397653073</c:v>
                </c:pt>
                <c:pt idx="51">
                  <c:v>36791.855826354702</c:v>
                </c:pt>
                <c:pt idx="52">
                  <c:v>25735.005585522871</c:v>
                </c:pt>
                <c:pt idx="53">
                  <c:v>22747.13759563744</c:v>
                </c:pt>
                <c:pt idx="54">
                  <c:v>26540.114467802461</c:v>
                </c:pt>
                <c:pt idx="55">
                  <c:v>31731.030728082842</c:v>
                </c:pt>
                <c:pt idx="56">
                  <c:v>30671.072656266588</c:v>
                </c:pt>
                <c:pt idx="57">
                  <c:v>24416.341674459898</c:v>
                </c:pt>
                <c:pt idx="58">
                  <c:v>28908.699406717165</c:v>
                </c:pt>
                <c:pt idx="59">
                  <c:v>25510.819125378064</c:v>
                </c:pt>
                <c:pt idx="60">
                  <c:v>23238.31124580012</c:v>
                </c:pt>
                <c:pt idx="61">
                  <c:v>24816.902500891596</c:v>
                </c:pt>
                <c:pt idx="62">
                  <c:v>30494.471436574178</c:v>
                </c:pt>
                <c:pt idx="63">
                  <c:v>22856.926148515482</c:v>
                </c:pt>
                <c:pt idx="64">
                  <c:v>16639.496160092571</c:v>
                </c:pt>
                <c:pt idx="65">
                  <c:v>31993.332918328604</c:v>
                </c:pt>
                <c:pt idx="66">
                  <c:v>9919.7242049841589</c:v>
                </c:pt>
                <c:pt idx="67">
                  <c:v>27487.887848226805</c:v>
                </c:pt>
                <c:pt idx="68">
                  <c:v>36528.729681256656</c:v>
                </c:pt>
                <c:pt idx="69">
                  <c:v>20978.801496171618</c:v>
                </c:pt>
                <c:pt idx="70">
                  <c:v>33720.569874895511</c:v>
                </c:pt>
                <c:pt idx="71">
                  <c:v>15118.279378303048</c:v>
                </c:pt>
                <c:pt idx="72">
                  <c:v>19740.987163864189</c:v>
                </c:pt>
                <c:pt idx="73">
                  <c:v>33773.189515964987</c:v>
                </c:pt>
                <c:pt idx="74">
                  <c:v>37807.335352409908</c:v>
                </c:pt>
                <c:pt idx="75">
                  <c:v>28788.788290144548</c:v>
                </c:pt>
                <c:pt idx="76">
                  <c:v>21817.84672589273</c:v>
                </c:pt>
                <c:pt idx="77">
                  <c:v>32060.646546033775</c:v>
                </c:pt>
                <c:pt idx="78">
                  <c:v>21546.866355887905</c:v>
                </c:pt>
                <c:pt idx="79">
                  <c:v>22405.327526399211</c:v>
                </c:pt>
                <c:pt idx="80">
                  <c:v>23447.478680315318</c:v>
                </c:pt>
                <c:pt idx="81">
                  <c:v>26601.225926808525</c:v>
                </c:pt>
                <c:pt idx="82">
                  <c:v>26955.599335213381</c:v>
                </c:pt>
                <c:pt idx="83">
                  <c:v>22961.652281107614</c:v>
                </c:pt>
                <c:pt idx="84">
                  <c:v>28666.351622325808</c:v>
                </c:pt>
                <c:pt idx="85">
                  <c:v>16213.3126072209</c:v>
                </c:pt>
                <c:pt idx="86">
                  <c:v>14834.416434190845</c:v>
                </c:pt>
                <c:pt idx="87">
                  <c:v>32293.799438048427</c:v>
                </c:pt>
                <c:pt idx="88">
                  <c:v>18342.036997880517</c:v>
                </c:pt>
                <c:pt idx="89">
                  <c:v>29332.125497090416</c:v>
                </c:pt>
                <c:pt idx="90">
                  <c:v>22103.963795728672</c:v>
                </c:pt>
                <c:pt idx="91">
                  <c:v>28160.228955389899</c:v>
                </c:pt>
                <c:pt idx="92">
                  <c:v>28214.306335803929</c:v>
                </c:pt>
                <c:pt idx="93">
                  <c:v>20695.603526757131</c:v>
                </c:pt>
                <c:pt idx="94">
                  <c:v>26679.808773466255</c:v>
                </c:pt>
                <c:pt idx="95">
                  <c:v>17221.898042022614</c:v>
                </c:pt>
                <c:pt idx="96">
                  <c:v>31218.333613818821</c:v>
                </c:pt>
                <c:pt idx="97">
                  <c:v>21620.406121663131</c:v>
                </c:pt>
                <c:pt idx="98">
                  <c:v>35076.536473667438</c:v>
                </c:pt>
                <c:pt idx="99">
                  <c:v>25574.982356589637</c:v>
                </c:pt>
              </c:numCache>
            </c:numRef>
          </c:yVal>
          <c:smooth val="0"/>
          <c:extLst>
            <c:ext xmlns:c16="http://schemas.microsoft.com/office/drawing/2014/chart" uri="{C3380CC4-5D6E-409C-BE32-E72D297353CC}">
              <c16:uniqueId val="{00000002-3BD5-BE48-8BF4-4DE6BEB5124E}"/>
            </c:ext>
          </c:extLst>
        </c:ser>
        <c:dLbls>
          <c:showLegendKey val="0"/>
          <c:showVal val="0"/>
          <c:showCatName val="0"/>
          <c:showSerName val="0"/>
          <c:showPercent val="0"/>
          <c:showBubbleSize val="0"/>
        </c:dLbls>
        <c:axId val="1999023216"/>
        <c:axId val="1725519231"/>
      </c:scatterChart>
      <c:valAx>
        <c:axId val="1999023216"/>
        <c:scaling>
          <c:orientation val="minMax"/>
        </c:scaling>
        <c:delete val="0"/>
        <c:axPos val="b"/>
        <c:title>
          <c:tx>
            <c:rich>
              <a:bodyPr/>
              <a:lstStyle/>
              <a:p>
                <a:pPr>
                  <a:defRPr/>
                </a:pPr>
                <a:r>
                  <a:rPr lang="en-US"/>
                  <a:t>Horsepower_hp</a:t>
                </a:r>
              </a:p>
            </c:rich>
          </c:tx>
          <c:overlay val="0"/>
        </c:title>
        <c:majorTickMark val="out"/>
        <c:minorTickMark val="none"/>
        <c:tickLblPos val="nextTo"/>
        <c:crossAx val="1725519231"/>
        <c:crosses val="autoZero"/>
        <c:crossBetween val="midCat"/>
      </c:valAx>
      <c:valAx>
        <c:axId val="1725519231"/>
        <c:scaling>
          <c:orientation val="minMax"/>
        </c:scaling>
        <c:delete val="0"/>
        <c:axPos val="l"/>
        <c:title>
          <c:tx>
            <c:rich>
              <a:bodyPr/>
              <a:lstStyle/>
              <a:p>
                <a:pPr>
                  <a:defRPr/>
                </a:pPr>
                <a:r>
                  <a:rPr lang="en-US"/>
                  <a:t>Price_USD</a:t>
                </a:r>
              </a:p>
            </c:rich>
          </c:tx>
          <c:overlay val="0"/>
        </c:title>
        <c:numFmt formatCode="General" sourceLinked="1"/>
        <c:majorTickMark val="out"/>
        <c:minorTickMark val="none"/>
        <c:tickLblPos val="nextTo"/>
        <c:crossAx val="1999023216"/>
        <c:crosses val="autoZero"/>
        <c:crossBetween val="midCat"/>
      </c:valAx>
    </c:plotArea>
    <c:legend>
      <c:legendPos val="r"/>
      <c:overlay val="0"/>
    </c:legend>
    <c:plotVisOnly val="1"/>
    <c:dispBlanksAs val="gap"/>
    <c:showDLblsOverMax val="0"/>
    <c:extLst>
      <c:ext xmlns:c16r3="http://schemas.microsoft.com/office/drawing/2017/03/chart" uri="{56B9EC1D-385E-4148-901F-78D8002777C0}">
        <c16r3:dataDisplayOptions16>
          <c16r3:dispNaAsBlank val="1"/>
        </c16r3:dataDisplayOptions16>
      </c:ext>
    </c:extLst>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Weight_kg Line Fit  Plot</a:t>
            </a:r>
          </a:p>
        </c:rich>
      </c:tx>
      <c:overlay val="0"/>
    </c:title>
    <c:autoTitleDeleted val="0"/>
    <c:plotArea>
      <c:layout/>
      <c:scatterChart>
        <c:scatterStyle val="lineMarker"/>
        <c:varyColors val="0"/>
        <c:ser>
          <c:idx val="0"/>
          <c:order val="0"/>
          <c:tx>
            <c:v>Price_USD</c:v>
          </c:tx>
          <c:spPr>
            <a:ln w="19050">
              <a:noFill/>
            </a:ln>
          </c:spPr>
          <c:xVal>
            <c:strRef>
              <c:f>'Demo 3_Result'!$E$2:$E$101</c:f>
              <c:strCache>
                <c:ptCount val="20"/>
                <c:pt idx="9">
                  <c:v>F</c:v>
                </c:pt>
                <c:pt idx="10">
                  <c:v>131.3993236</c:v>
                </c:pt>
                <c:pt idx="14">
                  <c:v>P-value</c:v>
                </c:pt>
                <c:pt idx="15">
                  <c:v>0.038059362</c:v>
                </c:pt>
                <c:pt idx="16">
                  <c:v>0.000501044</c:v>
                </c:pt>
                <c:pt idx="17">
                  <c:v>1.17414E-16</c:v>
                </c:pt>
                <c:pt idx="18">
                  <c:v>0.388418822</c:v>
                </c:pt>
                <c:pt idx="19">
                  <c:v>0.049797497</c:v>
                </c:pt>
              </c:strCache>
            </c:strRef>
          </c:xVal>
          <c:yVal>
            <c:numRef>
              <c:f>'Demo 3'!$G$2:$G$101</c:f>
              <c:numCache>
                <c:formatCode>General</c:formatCode>
                <c:ptCount val="100"/>
                <c:pt idx="0">
                  <c:v>32706</c:v>
                </c:pt>
                <c:pt idx="1">
                  <c:v>16104</c:v>
                </c:pt>
                <c:pt idx="2">
                  <c:v>30120</c:v>
                </c:pt>
                <c:pt idx="3">
                  <c:v>28301</c:v>
                </c:pt>
                <c:pt idx="4">
                  <c:v>12989</c:v>
                </c:pt>
                <c:pt idx="5">
                  <c:v>17140</c:v>
                </c:pt>
                <c:pt idx="6">
                  <c:v>26576</c:v>
                </c:pt>
                <c:pt idx="7">
                  <c:v>36523</c:v>
                </c:pt>
                <c:pt idx="8">
                  <c:v>30249</c:v>
                </c:pt>
                <c:pt idx="9">
                  <c:v>23030</c:v>
                </c:pt>
                <c:pt idx="10">
                  <c:v>17723</c:v>
                </c:pt>
                <c:pt idx="11">
                  <c:v>35833</c:v>
                </c:pt>
                <c:pt idx="12">
                  <c:v>25555</c:v>
                </c:pt>
                <c:pt idx="13">
                  <c:v>29229</c:v>
                </c:pt>
                <c:pt idx="14">
                  <c:v>17786</c:v>
                </c:pt>
                <c:pt idx="15">
                  <c:v>21531</c:v>
                </c:pt>
                <c:pt idx="16">
                  <c:v>30231</c:v>
                </c:pt>
                <c:pt idx="17">
                  <c:v>26898</c:v>
                </c:pt>
                <c:pt idx="18">
                  <c:v>36646</c:v>
                </c:pt>
                <c:pt idx="19">
                  <c:v>19584</c:v>
                </c:pt>
                <c:pt idx="20">
                  <c:v>35115</c:v>
                </c:pt>
                <c:pt idx="21">
                  <c:v>25915</c:v>
                </c:pt>
                <c:pt idx="22">
                  <c:v>35213</c:v>
                </c:pt>
                <c:pt idx="23">
                  <c:v>25668</c:v>
                </c:pt>
                <c:pt idx="24">
                  <c:v>22735</c:v>
                </c:pt>
                <c:pt idx="25">
                  <c:v>31001</c:v>
                </c:pt>
                <c:pt idx="26">
                  <c:v>23929</c:v>
                </c:pt>
                <c:pt idx="27">
                  <c:v>19281</c:v>
                </c:pt>
                <c:pt idx="28">
                  <c:v>23898</c:v>
                </c:pt>
                <c:pt idx="29">
                  <c:v>36861</c:v>
                </c:pt>
                <c:pt idx="30">
                  <c:v>27150</c:v>
                </c:pt>
                <c:pt idx="31">
                  <c:v>22672</c:v>
                </c:pt>
                <c:pt idx="32">
                  <c:v>31794</c:v>
                </c:pt>
                <c:pt idx="33">
                  <c:v>41331</c:v>
                </c:pt>
                <c:pt idx="34">
                  <c:v>24919</c:v>
                </c:pt>
                <c:pt idx="35">
                  <c:v>20199</c:v>
                </c:pt>
                <c:pt idx="36">
                  <c:v>29537</c:v>
                </c:pt>
                <c:pt idx="37">
                  <c:v>37863</c:v>
                </c:pt>
                <c:pt idx="38">
                  <c:v>28937</c:v>
                </c:pt>
                <c:pt idx="39">
                  <c:v>33643</c:v>
                </c:pt>
                <c:pt idx="40">
                  <c:v>42365</c:v>
                </c:pt>
                <c:pt idx="41">
                  <c:v>26497</c:v>
                </c:pt>
                <c:pt idx="42">
                  <c:v>18095</c:v>
                </c:pt>
                <c:pt idx="43">
                  <c:v>19793</c:v>
                </c:pt>
                <c:pt idx="44">
                  <c:v>30495</c:v>
                </c:pt>
                <c:pt idx="45">
                  <c:v>25852</c:v>
                </c:pt>
                <c:pt idx="46">
                  <c:v>41715</c:v>
                </c:pt>
                <c:pt idx="47">
                  <c:v>19262</c:v>
                </c:pt>
                <c:pt idx="48">
                  <c:v>16190</c:v>
                </c:pt>
                <c:pt idx="49">
                  <c:v>25895</c:v>
                </c:pt>
                <c:pt idx="50">
                  <c:v>39254</c:v>
                </c:pt>
                <c:pt idx="51">
                  <c:v>31115</c:v>
                </c:pt>
                <c:pt idx="52">
                  <c:v>24352</c:v>
                </c:pt>
                <c:pt idx="53">
                  <c:v>24233</c:v>
                </c:pt>
                <c:pt idx="54">
                  <c:v>26417</c:v>
                </c:pt>
                <c:pt idx="55">
                  <c:v>33033</c:v>
                </c:pt>
                <c:pt idx="56">
                  <c:v>25175</c:v>
                </c:pt>
                <c:pt idx="57">
                  <c:v>21842</c:v>
                </c:pt>
                <c:pt idx="58">
                  <c:v>29545</c:v>
                </c:pt>
                <c:pt idx="59">
                  <c:v>22636</c:v>
                </c:pt>
                <c:pt idx="60">
                  <c:v>24844</c:v>
                </c:pt>
                <c:pt idx="61">
                  <c:v>24485</c:v>
                </c:pt>
                <c:pt idx="62">
                  <c:v>28755</c:v>
                </c:pt>
                <c:pt idx="63">
                  <c:v>27383</c:v>
                </c:pt>
                <c:pt idx="64">
                  <c:v>17518</c:v>
                </c:pt>
                <c:pt idx="65">
                  <c:v>34657</c:v>
                </c:pt>
                <c:pt idx="66">
                  <c:v>8194</c:v>
                </c:pt>
                <c:pt idx="67">
                  <c:v>26832</c:v>
                </c:pt>
                <c:pt idx="68">
                  <c:v>39736</c:v>
                </c:pt>
                <c:pt idx="69">
                  <c:v>19086</c:v>
                </c:pt>
                <c:pt idx="70">
                  <c:v>36422</c:v>
                </c:pt>
                <c:pt idx="71">
                  <c:v>18339</c:v>
                </c:pt>
                <c:pt idx="72">
                  <c:v>21665</c:v>
                </c:pt>
                <c:pt idx="73">
                  <c:v>33414</c:v>
                </c:pt>
                <c:pt idx="74">
                  <c:v>39593</c:v>
                </c:pt>
                <c:pt idx="75">
                  <c:v>27165</c:v>
                </c:pt>
                <c:pt idx="76">
                  <c:v>22587</c:v>
                </c:pt>
                <c:pt idx="77">
                  <c:v>30939</c:v>
                </c:pt>
                <c:pt idx="78">
                  <c:v>18401</c:v>
                </c:pt>
                <c:pt idx="79">
                  <c:v>19424</c:v>
                </c:pt>
                <c:pt idx="80">
                  <c:v>17264</c:v>
                </c:pt>
                <c:pt idx="81">
                  <c:v>30751</c:v>
                </c:pt>
                <c:pt idx="82">
                  <c:v>26709</c:v>
                </c:pt>
                <c:pt idx="83">
                  <c:v>23611</c:v>
                </c:pt>
                <c:pt idx="84">
                  <c:v>26072</c:v>
                </c:pt>
                <c:pt idx="85">
                  <c:v>16357</c:v>
                </c:pt>
                <c:pt idx="86">
                  <c:v>15382</c:v>
                </c:pt>
                <c:pt idx="87">
                  <c:v>29791</c:v>
                </c:pt>
                <c:pt idx="88">
                  <c:v>17506</c:v>
                </c:pt>
                <c:pt idx="89">
                  <c:v>29977</c:v>
                </c:pt>
                <c:pt idx="90">
                  <c:v>19068</c:v>
                </c:pt>
                <c:pt idx="91">
                  <c:v>28443</c:v>
                </c:pt>
                <c:pt idx="92">
                  <c:v>27484</c:v>
                </c:pt>
                <c:pt idx="93">
                  <c:v>20869</c:v>
                </c:pt>
                <c:pt idx="94">
                  <c:v>31920</c:v>
                </c:pt>
                <c:pt idx="95">
                  <c:v>11519</c:v>
                </c:pt>
                <c:pt idx="96">
                  <c:v>30453</c:v>
                </c:pt>
                <c:pt idx="97">
                  <c:v>17143</c:v>
                </c:pt>
                <c:pt idx="98">
                  <c:v>34120</c:v>
                </c:pt>
                <c:pt idx="99">
                  <c:v>23320</c:v>
                </c:pt>
              </c:numCache>
            </c:numRef>
          </c:yVal>
          <c:smooth val="0"/>
          <c:extLst>
            <c:ext xmlns:c16="http://schemas.microsoft.com/office/drawing/2014/chart" uri="{C3380CC4-5D6E-409C-BE32-E72D297353CC}">
              <c16:uniqueId val="{00000001-015D-D44C-9D6F-4D7C61D868A8}"/>
            </c:ext>
          </c:extLst>
        </c:ser>
        <c:ser>
          <c:idx val="1"/>
          <c:order val="1"/>
          <c:tx>
            <c:v>Predicted Price_USD</c:v>
          </c:tx>
          <c:spPr>
            <a:ln w="19050">
              <a:noFill/>
            </a:ln>
          </c:spPr>
          <c:xVal>
            <c:strRef>
              <c:f>'Demo 3_Result'!$E$2:$E$101</c:f>
              <c:strCache>
                <c:ptCount val="20"/>
                <c:pt idx="9">
                  <c:v>F</c:v>
                </c:pt>
                <c:pt idx="10">
                  <c:v>131.3993236</c:v>
                </c:pt>
                <c:pt idx="14">
                  <c:v>P-value</c:v>
                </c:pt>
                <c:pt idx="15">
                  <c:v>0.038059362</c:v>
                </c:pt>
                <c:pt idx="16">
                  <c:v>0.000501044</c:v>
                </c:pt>
                <c:pt idx="17">
                  <c:v>1.17414E-16</c:v>
                </c:pt>
                <c:pt idx="18">
                  <c:v>0.388418822</c:v>
                </c:pt>
                <c:pt idx="19">
                  <c:v>0.049797497</c:v>
                </c:pt>
              </c:strCache>
            </c:strRef>
          </c:xVal>
          <c:yVal>
            <c:numRef>
              <c:f>'Demo 3_Result'!$B$28:$B$127</c:f>
              <c:numCache>
                <c:formatCode>General</c:formatCode>
                <c:ptCount val="100"/>
                <c:pt idx="0">
                  <c:v>32704.46494446653</c:v>
                </c:pt>
                <c:pt idx="1">
                  <c:v>17524.269829875164</c:v>
                </c:pt>
                <c:pt idx="2">
                  <c:v>31736.363685919197</c:v>
                </c:pt>
                <c:pt idx="3">
                  <c:v>20916.00051147243</c:v>
                </c:pt>
                <c:pt idx="4">
                  <c:v>11777.122250712806</c:v>
                </c:pt>
                <c:pt idx="5">
                  <c:v>19092.142577158636</c:v>
                </c:pt>
                <c:pt idx="6">
                  <c:v>23946.311444226179</c:v>
                </c:pt>
                <c:pt idx="7">
                  <c:v>35681.333410565334</c:v>
                </c:pt>
                <c:pt idx="8">
                  <c:v>31680.297058722412</c:v>
                </c:pt>
                <c:pt idx="9">
                  <c:v>23697.994959972562</c:v>
                </c:pt>
                <c:pt idx="10">
                  <c:v>19662.552891270367</c:v>
                </c:pt>
                <c:pt idx="11">
                  <c:v>33216.386935949253</c:v>
                </c:pt>
                <c:pt idx="12">
                  <c:v>24037.156004377612</c:v>
                </c:pt>
                <c:pt idx="13">
                  <c:v>24577.277539421404</c:v>
                </c:pt>
                <c:pt idx="14">
                  <c:v>20687.803765834775</c:v>
                </c:pt>
                <c:pt idx="15">
                  <c:v>19007.272649287122</c:v>
                </c:pt>
                <c:pt idx="16">
                  <c:v>31452.863780687032</c:v>
                </c:pt>
                <c:pt idx="17">
                  <c:v>27032.332340122579</c:v>
                </c:pt>
                <c:pt idx="18">
                  <c:v>36268.131231827982</c:v>
                </c:pt>
                <c:pt idx="19">
                  <c:v>22766.382015097595</c:v>
                </c:pt>
                <c:pt idx="20">
                  <c:v>33602.842022617413</c:v>
                </c:pt>
                <c:pt idx="21">
                  <c:v>28297.435755144706</c:v>
                </c:pt>
                <c:pt idx="22">
                  <c:v>33787.221155049207</c:v>
                </c:pt>
                <c:pt idx="23">
                  <c:v>23919.039204193054</c:v>
                </c:pt>
                <c:pt idx="24">
                  <c:v>21609.12514786578</c:v>
                </c:pt>
                <c:pt idx="25">
                  <c:v>28184.403550846946</c:v>
                </c:pt>
                <c:pt idx="26">
                  <c:v>23045.499162179367</c:v>
                </c:pt>
                <c:pt idx="27">
                  <c:v>16205.058341594826</c:v>
                </c:pt>
                <c:pt idx="28">
                  <c:v>24997.869788886641</c:v>
                </c:pt>
                <c:pt idx="29">
                  <c:v>34873.338232119488</c:v>
                </c:pt>
                <c:pt idx="30">
                  <c:v>27698.11908655685</c:v>
                </c:pt>
                <c:pt idx="31">
                  <c:v>26392.286097783224</c:v>
                </c:pt>
                <c:pt idx="32">
                  <c:v>25730.668804708672</c:v>
                </c:pt>
                <c:pt idx="33">
                  <c:v>43128.422856543926</c:v>
                </c:pt>
                <c:pt idx="34">
                  <c:v>28601.105712850054</c:v>
                </c:pt>
                <c:pt idx="35">
                  <c:v>19570.796984908317</c:v>
                </c:pt>
                <c:pt idx="36">
                  <c:v>28338.039237528523</c:v>
                </c:pt>
                <c:pt idx="37">
                  <c:v>35150.245157905287</c:v>
                </c:pt>
                <c:pt idx="38">
                  <c:v>26992.077083645068</c:v>
                </c:pt>
                <c:pt idx="39">
                  <c:v>35042.338657301094</c:v>
                </c:pt>
                <c:pt idx="40">
                  <c:v>37347.78068622922</c:v>
                </c:pt>
                <c:pt idx="41">
                  <c:v>29660.501624344564</c:v>
                </c:pt>
                <c:pt idx="42">
                  <c:v>26003.176640509264</c:v>
                </c:pt>
                <c:pt idx="43">
                  <c:v>19304.390274791524</c:v>
                </c:pt>
                <c:pt idx="44">
                  <c:v>27336.072426315353</c:v>
                </c:pt>
                <c:pt idx="45">
                  <c:v>27428.053449958039</c:v>
                </c:pt>
                <c:pt idx="46">
                  <c:v>41641.487261923219</c:v>
                </c:pt>
                <c:pt idx="47">
                  <c:v>15268.550172036301</c:v>
                </c:pt>
                <c:pt idx="48">
                  <c:v>13591.851310144906</c:v>
                </c:pt>
                <c:pt idx="49">
                  <c:v>29191.536058051955</c:v>
                </c:pt>
                <c:pt idx="50">
                  <c:v>32969.64397653073</c:v>
                </c:pt>
                <c:pt idx="51">
                  <c:v>36791.855826354702</c:v>
                </c:pt>
                <c:pt idx="52">
                  <c:v>25735.005585522871</c:v>
                </c:pt>
                <c:pt idx="53">
                  <c:v>22747.13759563744</c:v>
                </c:pt>
                <c:pt idx="54">
                  <c:v>26540.114467802461</c:v>
                </c:pt>
                <c:pt idx="55">
                  <c:v>31731.030728082842</c:v>
                </c:pt>
                <c:pt idx="56">
                  <c:v>30671.072656266588</c:v>
                </c:pt>
                <c:pt idx="57">
                  <c:v>24416.341674459898</c:v>
                </c:pt>
                <c:pt idx="58">
                  <c:v>28908.699406717165</c:v>
                </c:pt>
                <c:pt idx="59">
                  <c:v>25510.819125378064</c:v>
                </c:pt>
                <c:pt idx="60">
                  <c:v>23238.31124580012</c:v>
                </c:pt>
                <c:pt idx="61">
                  <c:v>24816.902500891596</c:v>
                </c:pt>
                <c:pt idx="62">
                  <c:v>30494.471436574178</c:v>
                </c:pt>
                <c:pt idx="63">
                  <c:v>22856.926148515482</c:v>
                </c:pt>
                <c:pt idx="64">
                  <c:v>16639.496160092571</c:v>
                </c:pt>
                <c:pt idx="65">
                  <c:v>31993.332918328604</c:v>
                </c:pt>
                <c:pt idx="66">
                  <c:v>9919.7242049841589</c:v>
                </c:pt>
                <c:pt idx="67">
                  <c:v>27487.887848226805</c:v>
                </c:pt>
                <c:pt idx="68">
                  <c:v>36528.729681256656</c:v>
                </c:pt>
                <c:pt idx="69">
                  <c:v>20978.801496171618</c:v>
                </c:pt>
                <c:pt idx="70">
                  <c:v>33720.569874895511</c:v>
                </c:pt>
                <c:pt idx="71">
                  <c:v>15118.279378303048</c:v>
                </c:pt>
                <c:pt idx="72">
                  <c:v>19740.987163864189</c:v>
                </c:pt>
                <c:pt idx="73">
                  <c:v>33773.189515964987</c:v>
                </c:pt>
                <c:pt idx="74">
                  <c:v>37807.335352409908</c:v>
                </c:pt>
                <c:pt idx="75">
                  <c:v>28788.788290144548</c:v>
                </c:pt>
                <c:pt idx="76">
                  <c:v>21817.84672589273</c:v>
                </c:pt>
                <c:pt idx="77">
                  <c:v>32060.646546033775</c:v>
                </c:pt>
                <c:pt idx="78">
                  <c:v>21546.866355887905</c:v>
                </c:pt>
                <c:pt idx="79">
                  <c:v>22405.327526399211</c:v>
                </c:pt>
                <c:pt idx="80">
                  <c:v>23447.478680315318</c:v>
                </c:pt>
                <c:pt idx="81">
                  <c:v>26601.225926808525</c:v>
                </c:pt>
                <c:pt idx="82">
                  <c:v>26955.599335213381</c:v>
                </c:pt>
                <c:pt idx="83">
                  <c:v>22961.652281107614</c:v>
                </c:pt>
                <c:pt idx="84">
                  <c:v>28666.351622325808</c:v>
                </c:pt>
                <c:pt idx="85">
                  <c:v>16213.3126072209</c:v>
                </c:pt>
                <c:pt idx="86">
                  <c:v>14834.416434190845</c:v>
                </c:pt>
                <c:pt idx="87">
                  <c:v>32293.799438048427</c:v>
                </c:pt>
                <c:pt idx="88">
                  <c:v>18342.036997880517</c:v>
                </c:pt>
                <c:pt idx="89">
                  <c:v>29332.125497090416</c:v>
                </c:pt>
                <c:pt idx="90">
                  <c:v>22103.963795728672</c:v>
                </c:pt>
                <c:pt idx="91">
                  <c:v>28160.228955389899</c:v>
                </c:pt>
                <c:pt idx="92">
                  <c:v>28214.306335803929</c:v>
                </c:pt>
                <c:pt idx="93">
                  <c:v>20695.603526757131</c:v>
                </c:pt>
                <c:pt idx="94">
                  <c:v>26679.808773466255</c:v>
                </c:pt>
                <c:pt idx="95">
                  <c:v>17221.898042022614</c:v>
                </c:pt>
                <c:pt idx="96">
                  <c:v>31218.333613818821</c:v>
                </c:pt>
                <c:pt idx="97">
                  <c:v>21620.406121663131</c:v>
                </c:pt>
                <c:pt idx="98">
                  <c:v>35076.536473667438</c:v>
                </c:pt>
                <c:pt idx="99">
                  <c:v>25574.982356589637</c:v>
                </c:pt>
              </c:numCache>
            </c:numRef>
          </c:yVal>
          <c:smooth val="0"/>
          <c:extLst>
            <c:ext xmlns:c16="http://schemas.microsoft.com/office/drawing/2014/chart" uri="{C3380CC4-5D6E-409C-BE32-E72D297353CC}">
              <c16:uniqueId val="{00000002-015D-D44C-9D6F-4D7C61D868A8}"/>
            </c:ext>
          </c:extLst>
        </c:ser>
        <c:dLbls>
          <c:showLegendKey val="0"/>
          <c:showVal val="0"/>
          <c:showCatName val="0"/>
          <c:showSerName val="0"/>
          <c:showPercent val="0"/>
          <c:showBubbleSize val="0"/>
        </c:dLbls>
        <c:axId val="1725349999"/>
        <c:axId val="1725891935"/>
      </c:scatterChart>
      <c:valAx>
        <c:axId val="1725349999"/>
        <c:scaling>
          <c:orientation val="minMax"/>
        </c:scaling>
        <c:delete val="0"/>
        <c:axPos val="b"/>
        <c:title>
          <c:tx>
            <c:rich>
              <a:bodyPr/>
              <a:lstStyle/>
              <a:p>
                <a:pPr>
                  <a:defRPr/>
                </a:pPr>
                <a:r>
                  <a:rPr lang="en-US"/>
                  <a:t>Weight_kg</a:t>
                </a:r>
              </a:p>
            </c:rich>
          </c:tx>
          <c:overlay val="0"/>
        </c:title>
        <c:majorTickMark val="out"/>
        <c:minorTickMark val="none"/>
        <c:tickLblPos val="nextTo"/>
        <c:crossAx val="1725891935"/>
        <c:crosses val="autoZero"/>
        <c:crossBetween val="midCat"/>
      </c:valAx>
      <c:valAx>
        <c:axId val="1725891935"/>
        <c:scaling>
          <c:orientation val="minMax"/>
        </c:scaling>
        <c:delete val="0"/>
        <c:axPos val="l"/>
        <c:title>
          <c:tx>
            <c:rich>
              <a:bodyPr/>
              <a:lstStyle/>
              <a:p>
                <a:pPr>
                  <a:defRPr/>
                </a:pPr>
                <a:r>
                  <a:rPr lang="en-US"/>
                  <a:t>Price_USD</a:t>
                </a:r>
              </a:p>
            </c:rich>
          </c:tx>
          <c:overlay val="0"/>
        </c:title>
        <c:numFmt formatCode="General" sourceLinked="1"/>
        <c:majorTickMark val="out"/>
        <c:minorTickMark val="none"/>
        <c:tickLblPos val="nextTo"/>
        <c:crossAx val="1725349999"/>
        <c:crosses val="autoZero"/>
        <c:crossBetween val="midCat"/>
      </c:valAx>
    </c:plotArea>
    <c:legend>
      <c:legendPos val="r"/>
      <c:overlay val="0"/>
    </c:legend>
    <c:plotVisOnly val="1"/>
    <c:dispBlanksAs val="gap"/>
    <c:showDLblsOverMax val="0"/>
    <c:extLst>
      <c:ext xmlns:c16r3="http://schemas.microsoft.com/office/drawing/2017/03/chart" uri="{56B9EC1D-385E-4148-901F-78D8002777C0}">
        <c16r3:dataDisplayOptions16>
          <c16r3:dispNaAsBlank val="1"/>
        </c16r3:dataDisplayOptions16>
      </c:ext>
    </c:extLst>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FuelConsumption_Lper100km Line Fit  Plot</a:t>
            </a:r>
          </a:p>
        </c:rich>
      </c:tx>
      <c:overlay val="0"/>
    </c:title>
    <c:autoTitleDeleted val="0"/>
    <c:plotArea>
      <c:layout/>
      <c:scatterChart>
        <c:scatterStyle val="lineMarker"/>
        <c:varyColors val="0"/>
        <c:ser>
          <c:idx val="0"/>
          <c:order val="0"/>
          <c:tx>
            <c:v>Price_USD</c:v>
          </c:tx>
          <c:spPr>
            <a:ln w="19050">
              <a:noFill/>
            </a:ln>
          </c:spPr>
          <c:xVal>
            <c:strRef>
              <c:f>'Demo 3_Result'!$F$2:$F$101</c:f>
              <c:strCache>
                <c:ptCount val="20"/>
                <c:pt idx="9">
                  <c:v>Significance F</c:v>
                </c:pt>
                <c:pt idx="10">
                  <c:v>7.91776E-38</c:v>
                </c:pt>
                <c:pt idx="14">
                  <c:v>Lower 95%</c:v>
                </c:pt>
                <c:pt idx="15">
                  <c:v>470.2173326</c:v>
                </c:pt>
                <c:pt idx="16">
                  <c:v>2515.7985</c:v>
                </c:pt>
                <c:pt idx="17">
                  <c:v>93.6344968</c:v>
                </c:pt>
                <c:pt idx="18">
                  <c:v>-7.810108752</c:v>
                </c:pt>
                <c:pt idx="19">
                  <c:v>-1829.484678</c:v>
                </c:pt>
              </c:strCache>
            </c:strRef>
          </c:xVal>
          <c:yVal>
            <c:numRef>
              <c:f>'Demo 3'!$G$2:$G$101</c:f>
              <c:numCache>
                <c:formatCode>General</c:formatCode>
                <c:ptCount val="100"/>
                <c:pt idx="0">
                  <c:v>32706</c:v>
                </c:pt>
                <c:pt idx="1">
                  <c:v>16104</c:v>
                </c:pt>
                <c:pt idx="2">
                  <c:v>30120</c:v>
                </c:pt>
                <c:pt idx="3">
                  <c:v>28301</c:v>
                </c:pt>
                <c:pt idx="4">
                  <c:v>12989</c:v>
                </c:pt>
                <c:pt idx="5">
                  <c:v>17140</c:v>
                </c:pt>
                <c:pt idx="6">
                  <c:v>26576</c:v>
                </c:pt>
                <c:pt idx="7">
                  <c:v>36523</c:v>
                </c:pt>
                <c:pt idx="8">
                  <c:v>30249</c:v>
                </c:pt>
                <c:pt idx="9">
                  <c:v>23030</c:v>
                </c:pt>
                <c:pt idx="10">
                  <c:v>17723</c:v>
                </c:pt>
                <c:pt idx="11">
                  <c:v>35833</c:v>
                </c:pt>
                <c:pt idx="12">
                  <c:v>25555</c:v>
                </c:pt>
                <c:pt idx="13">
                  <c:v>29229</c:v>
                </c:pt>
                <c:pt idx="14">
                  <c:v>17786</c:v>
                </c:pt>
                <c:pt idx="15">
                  <c:v>21531</c:v>
                </c:pt>
                <c:pt idx="16">
                  <c:v>30231</c:v>
                </c:pt>
                <c:pt idx="17">
                  <c:v>26898</c:v>
                </c:pt>
                <c:pt idx="18">
                  <c:v>36646</c:v>
                </c:pt>
                <c:pt idx="19">
                  <c:v>19584</c:v>
                </c:pt>
                <c:pt idx="20">
                  <c:v>35115</c:v>
                </c:pt>
                <c:pt idx="21">
                  <c:v>25915</c:v>
                </c:pt>
                <c:pt idx="22">
                  <c:v>35213</c:v>
                </c:pt>
                <c:pt idx="23">
                  <c:v>25668</c:v>
                </c:pt>
                <c:pt idx="24">
                  <c:v>22735</c:v>
                </c:pt>
                <c:pt idx="25">
                  <c:v>31001</c:v>
                </c:pt>
                <c:pt idx="26">
                  <c:v>23929</c:v>
                </c:pt>
                <c:pt idx="27">
                  <c:v>19281</c:v>
                </c:pt>
                <c:pt idx="28">
                  <c:v>23898</c:v>
                </c:pt>
                <c:pt idx="29">
                  <c:v>36861</c:v>
                </c:pt>
                <c:pt idx="30">
                  <c:v>27150</c:v>
                </c:pt>
                <c:pt idx="31">
                  <c:v>22672</c:v>
                </c:pt>
                <c:pt idx="32">
                  <c:v>31794</c:v>
                </c:pt>
                <c:pt idx="33">
                  <c:v>41331</c:v>
                </c:pt>
                <c:pt idx="34">
                  <c:v>24919</c:v>
                </c:pt>
                <c:pt idx="35">
                  <c:v>20199</c:v>
                </c:pt>
                <c:pt idx="36">
                  <c:v>29537</c:v>
                </c:pt>
                <c:pt idx="37">
                  <c:v>37863</c:v>
                </c:pt>
                <c:pt idx="38">
                  <c:v>28937</c:v>
                </c:pt>
                <c:pt idx="39">
                  <c:v>33643</c:v>
                </c:pt>
                <c:pt idx="40">
                  <c:v>42365</c:v>
                </c:pt>
                <c:pt idx="41">
                  <c:v>26497</c:v>
                </c:pt>
                <c:pt idx="42">
                  <c:v>18095</c:v>
                </c:pt>
                <c:pt idx="43">
                  <c:v>19793</c:v>
                </c:pt>
                <c:pt idx="44">
                  <c:v>30495</c:v>
                </c:pt>
                <c:pt idx="45">
                  <c:v>25852</c:v>
                </c:pt>
                <c:pt idx="46">
                  <c:v>41715</c:v>
                </c:pt>
                <c:pt idx="47">
                  <c:v>19262</c:v>
                </c:pt>
                <c:pt idx="48">
                  <c:v>16190</c:v>
                </c:pt>
                <c:pt idx="49">
                  <c:v>25895</c:v>
                </c:pt>
                <c:pt idx="50">
                  <c:v>39254</c:v>
                </c:pt>
                <c:pt idx="51">
                  <c:v>31115</c:v>
                </c:pt>
                <c:pt idx="52">
                  <c:v>24352</c:v>
                </c:pt>
                <c:pt idx="53">
                  <c:v>24233</c:v>
                </c:pt>
                <c:pt idx="54">
                  <c:v>26417</c:v>
                </c:pt>
                <c:pt idx="55">
                  <c:v>33033</c:v>
                </c:pt>
                <c:pt idx="56">
                  <c:v>25175</c:v>
                </c:pt>
                <c:pt idx="57">
                  <c:v>21842</c:v>
                </c:pt>
                <c:pt idx="58">
                  <c:v>29545</c:v>
                </c:pt>
                <c:pt idx="59">
                  <c:v>22636</c:v>
                </c:pt>
                <c:pt idx="60">
                  <c:v>24844</c:v>
                </c:pt>
                <c:pt idx="61">
                  <c:v>24485</c:v>
                </c:pt>
                <c:pt idx="62">
                  <c:v>28755</c:v>
                </c:pt>
                <c:pt idx="63">
                  <c:v>27383</c:v>
                </c:pt>
                <c:pt idx="64">
                  <c:v>17518</c:v>
                </c:pt>
                <c:pt idx="65">
                  <c:v>34657</c:v>
                </c:pt>
                <c:pt idx="66">
                  <c:v>8194</c:v>
                </c:pt>
                <c:pt idx="67">
                  <c:v>26832</c:v>
                </c:pt>
                <c:pt idx="68">
                  <c:v>39736</c:v>
                </c:pt>
                <c:pt idx="69">
                  <c:v>19086</c:v>
                </c:pt>
                <c:pt idx="70">
                  <c:v>36422</c:v>
                </c:pt>
                <c:pt idx="71">
                  <c:v>18339</c:v>
                </c:pt>
                <c:pt idx="72">
                  <c:v>21665</c:v>
                </c:pt>
                <c:pt idx="73">
                  <c:v>33414</c:v>
                </c:pt>
                <c:pt idx="74">
                  <c:v>39593</c:v>
                </c:pt>
                <c:pt idx="75">
                  <c:v>27165</c:v>
                </c:pt>
                <c:pt idx="76">
                  <c:v>22587</c:v>
                </c:pt>
                <c:pt idx="77">
                  <c:v>30939</c:v>
                </c:pt>
                <c:pt idx="78">
                  <c:v>18401</c:v>
                </c:pt>
                <c:pt idx="79">
                  <c:v>19424</c:v>
                </c:pt>
                <c:pt idx="80">
                  <c:v>17264</c:v>
                </c:pt>
                <c:pt idx="81">
                  <c:v>30751</c:v>
                </c:pt>
                <c:pt idx="82">
                  <c:v>26709</c:v>
                </c:pt>
                <c:pt idx="83">
                  <c:v>23611</c:v>
                </c:pt>
                <c:pt idx="84">
                  <c:v>26072</c:v>
                </c:pt>
                <c:pt idx="85">
                  <c:v>16357</c:v>
                </c:pt>
                <c:pt idx="86">
                  <c:v>15382</c:v>
                </c:pt>
                <c:pt idx="87">
                  <c:v>29791</c:v>
                </c:pt>
                <c:pt idx="88">
                  <c:v>17506</c:v>
                </c:pt>
                <c:pt idx="89">
                  <c:v>29977</c:v>
                </c:pt>
                <c:pt idx="90">
                  <c:v>19068</c:v>
                </c:pt>
                <c:pt idx="91">
                  <c:v>28443</c:v>
                </c:pt>
                <c:pt idx="92">
                  <c:v>27484</c:v>
                </c:pt>
                <c:pt idx="93">
                  <c:v>20869</c:v>
                </c:pt>
                <c:pt idx="94">
                  <c:v>31920</c:v>
                </c:pt>
                <c:pt idx="95">
                  <c:v>11519</c:v>
                </c:pt>
                <c:pt idx="96">
                  <c:v>30453</c:v>
                </c:pt>
                <c:pt idx="97">
                  <c:v>17143</c:v>
                </c:pt>
                <c:pt idx="98">
                  <c:v>34120</c:v>
                </c:pt>
                <c:pt idx="99">
                  <c:v>23320</c:v>
                </c:pt>
              </c:numCache>
            </c:numRef>
          </c:yVal>
          <c:smooth val="0"/>
          <c:extLst>
            <c:ext xmlns:c16="http://schemas.microsoft.com/office/drawing/2014/chart" uri="{C3380CC4-5D6E-409C-BE32-E72D297353CC}">
              <c16:uniqueId val="{00000001-5009-5D47-9335-8C7D9764ECBE}"/>
            </c:ext>
          </c:extLst>
        </c:ser>
        <c:ser>
          <c:idx val="1"/>
          <c:order val="1"/>
          <c:tx>
            <c:v>Predicted Price_USD</c:v>
          </c:tx>
          <c:spPr>
            <a:ln w="19050">
              <a:noFill/>
            </a:ln>
          </c:spPr>
          <c:xVal>
            <c:strRef>
              <c:f>'Demo 3_Result'!$F$2:$F$101</c:f>
              <c:strCache>
                <c:ptCount val="20"/>
                <c:pt idx="9">
                  <c:v>Significance F</c:v>
                </c:pt>
                <c:pt idx="10">
                  <c:v>7.91776E-38</c:v>
                </c:pt>
                <c:pt idx="14">
                  <c:v>Lower 95%</c:v>
                </c:pt>
                <c:pt idx="15">
                  <c:v>470.2173326</c:v>
                </c:pt>
                <c:pt idx="16">
                  <c:v>2515.7985</c:v>
                </c:pt>
                <c:pt idx="17">
                  <c:v>93.6344968</c:v>
                </c:pt>
                <c:pt idx="18">
                  <c:v>-7.810108752</c:v>
                </c:pt>
                <c:pt idx="19">
                  <c:v>-1829.484678</c:v>
                </c:pt>
              </c:strCache>
            </c:strRef>
          </c:xVal>
          <c:yVal>
            <c:numRef>
              <c:f>'Demo 3_Result'!$B$28:$B$127</c:f>
              <c:numCache>
                <c:formatCode>General</c:formatCode>
                <c:ptCount val="100"/>
                <c:pt idx="0">
                  <c:v>32704.46494446653</c:v>
                </c:pt>
                <c:pt idx="1">
                  <c:v>17524.269829875164</c:v>
                </c:pt>
                <c:pt idx="2">
                  <c:v>31736.363685919197</c:v>
                </c:pt>
                <c:pt idx="3">
                  <c:v>20916.00051147243</c:v>
                </c:pt>
                <c:pt idx="4">
                  <c:v>11777.122250712806</c:v>
                </c:pt>
                <c:pt idx="5">
                  <c:v>19092.142577158636</c:v>
                </c:pt>
                <c:pt idx="6">
                  <c:v>23946.311444226179</c:v>
                </c:pt>
                <c:pt idx="7">
                  <c:v>35681.333410565334</c:v>
                </c:pt>
                <c:pt idx="8">
                  <c:v>31680.297058722412</c:v>
                </c:pt>
                <c:pt idx="9">
                  <c:v>23697.994959972562</c:v>
                </c:pt>
                <c:pt idx="10">
                  <c:v>19662.552891270367</c:v>
                </c:pt>
                <c:pt idx="11">
                  <c:v>33216.386935949253</c:v>
                </c:pt>
                <c:pt idx="12">
                  <c:v>24037.156004377612</c:v>
                </c:pt>
                <c:pt idx="13">
                  <c:v>24577.277539421404</c:v>
                </c:pt>
                <c:pt idx="14">
                  <c:v>20687.803765834775</c:v>
                </c:pt>
                <c:pt idx="15">
                  <c:v>19007.272649287122</c:v>
                </c:pt>
                <c:pt idx="16">
                  <c:v>31452.863780687032</c:v>
                </c:pt>
                <c:pt idx="17">
                  <c:v>27032.332340122579</c:v>
                </c:pt>
                <c:pt idx="18">
                  <c:v>36268.131231827982</c:v>
                </c:pt>
                <c:pt idx="19">
                  <c:v>22766.382015097595</c:v>
                </c:pt>
                <c:pt idx="20">
                  <c:v>33602.842022617413</c:v>
                </c:pt>
                <c:pt idx="21">
                  <c:v>28297.435755144706</c:v>
                </c:pt>
                <c:pt idx="22">
                  <c:v>33787.221155049207</c:v>
                </c:pt>
                <c:pt idx="23">
                  <c:v>23919.039204193054</c:v>
                </c:pt>
                <c:pt idx="24">
                  <c:v>21609.12514786578</c:v>
                </c:pt>
                <c:pt idx="25">
                  <c:v>28184.403550846946</c:v>
                </c:pt>
                <c:pt idx="26">
                  <c:v>23045.499162179367</c:v>
                </c:pt>
                <c:pt idx="27">
                  <c:v>16205.058341594826</c:v>
                </c:pt>
                <c:pt idx="28">
                  <c:v>24997.869788886641</c:v>
                </c:pt>
                <c:pt idx="29">
                  <c:v>34873.338232119488</c:v>
                </c:pt>
                <c:pt idx="30">
                  <c:v>27698.11908655685</c:v>
                </c:pt>
                <c:pt idx="31">
                  <c:v>26392.286097783224</c:v>
                </c:pt>
                <c:pt idx="32">
                  <c:v>25730.668804708672</c:v>
                </c:pt>
                <c:pt idx="33">
                  <c:v>43128.422856543926</c:v>
                </c:pt>
                <c:pt idx="34">
                  <c:v>28601.105712850054</c:v>
                </c:pt>
                <c:pt idx="35">
                  <c:v>19570.796984908317</c:v>
                </c:pt>
                <c:pt idx="36">
                  <c:v>28338.039237528523</c:v>
                </c:pt>
                <c:pt idx="37">
                  <c:v>35150.245157905287</c:v>
                </c:pt>
                <c:pt idx="38">
                  <c:v>26992.077083645068</c:v>
                </c:pt>
                <c:pt idx="39">
                  <c:v>35042.338657301094</c:v>
                </c:pt>
                <c:pt idx="40">
                  <c:v>37347.78068622922</c:v>
                </c:pt>
                <c:pt idx="41">
                  <c:v>29660.501624344564</c:v>
                </c:pt>
                <c:pt idx="42">
                  <c:v>26003.176640509264</c:v>
                </c:pt>
                <c:pt idx="43">
                  <c:v>19304.390274791524</c:v>
                </c:pt>
                <c:pt idx="44">
                  <c:v>27336.072426315353</c:v>
                </c:pt>
                <c:pt idx="45">
                  <c:v>27428.053449958039</c:v>
                </c:pt>
                <c:pt idx="46">
                  <c:v>41641.487261923219</c:v>
                </c:pt>
                <c:pt idx="47">
                  <c:v>15268.550172036301</c:v>
                </c:pt>
                <c:pt idx="48">
                  <c:v>13591.851310144906</c:v>
                </c:pt>
                <c:pt idx="49">
                  <c:v>29191.536058051955</c:v>
                </c:pt>
                <c:pt idx="50">
                  <c:v>32969.64397653073</c:v>
                </c:pt>
                <c:pt idx="51">
                  <c:v>36791.855826354702</c:v>
                </c:pt>
                <c:pt idx="52">
                  <c:v>25735.005585522871</c:v>
                </c:pt>
                <c:pt idx="53">
                  <c:v>22747.13759563744</c:v>
                </c:pt>
                <c:pt idx="54">
                  <c:v>26540.114467802461</c:v>
                </c:pt>
                <c:pt idx="55">
                  <c:v>31731.030728082842</c:v>
                </c:pt>
                <c:pt idx="56">
                  <c:v>30671.072656266588</c:v>
                </c:pt>
                <c:pt idx="57">
                  <c:v>24416.341674459898</c:v>
                </c:pt>
                <c:pt idx="58">
                  <c:v>28908.699406717165</c:v>
                </c:pt>
                <c:pt idx="59">
                  <c:v>25510.819125378064</c:v>
                </c:pt>
                <c:pt idx="60">
                  <c:v>23238.31124580012</c:v>
                </c:pt>
                <c:pt idx="61">
                  <c:v>24816.902500891596</c:v>
                </c:pt>
                <c:pt idx="62">
                  <c:v>30494.471436574178</c:v>
                </c:pt>
                <c:pt idx="63">
                  <c:v>22856.926148515482</c:v>
                </c:pt>
                <c:pt idx="64">
                  <c:v>16639.496160092571</c:v>
                </c:pt>
                <c:pt idx="65">
                  <c:v>31993.332918328604</c:v>
                </c:pt>
                <c:pt idx="66">
                  <c:v>9919.7242049841589</c:v>
                </c:pt>
                <c:pt idx="67">
                  <c:v>27487.887848226805</c:v>
                </c:pt>
                <c:pt idx="68">
                  <c:v>36528.729681256656</c:v>
                </c:pt>
                <c:pt idx="69">
                  <c:v>20978.801496171618</c:v>
                </c:pt>
                <c:pt idx="70">
                  <c:v>33720.569874895511</c:v>
                </c:pt>
                <c:pt idx="71">
                  <c:v>15118.279378303048</c:v>
                </c:pt>
                <c:pt idx="72">
                  <c:v>19740.987163864189</c:v>
                </c:pt>
                <c:pt idx="73">
                  <c:v>33773.189515964987</c:v>
                </c:pt>
                <c:pt idx="74">
                  <c:v>37807.335352409908</c:v>
                </c:pt>
                <c:pt idx="75">
                  <c:v>28788.788290144548</c:v>
                </c:pt>
                <c:pt idx="76">
                  <c:v>21817.84672589273</c:v>
                </c:pt>
                <c:pt idx="77">
                  <c:v>32060.646546033775</c:v>
                </c:pt>
                <c:pt idx="78">
                  <c:v>21546.866355887905</c:v>
                </c:pt>
                <c:pt idx="79">
                  <c:v>22405.327526399211</c:v>
                </c:pt>
                <c:pt idx="80">
                  <c:v>23447.478680315318</c:v>
                </c:pt>
                <c:pt idx="81">
                  <c:v>26601.225926808525</c:v>
                </c:pt>
                <c:pt idx="82">
                  <c:v>26955.599335213381</c:v>
                </c:pt>
                <c:pt idx="83">
                  <c:v>22961.652281107614</c:v>
                </c:pt>
                <c:pt idx="84">
                  <c:v>28666.351622325808</c:v>
                </c:pt>
                <c:pt idx="85">
                  <c:v>16213.3126072209</c:v>
                </c:pt>
                <c:pt idx="86">
                  <c:v>14834.416434190845</c:v>
                </c:pt>
                <c:pt idx="87">
                  <c:v>32293.799438048427</c:v>
                </c:pt>
                <c:pt idx="88">
                  <c:v>18342.036997880517</c:v>
                </c:pt>
                <c:pt idx="89">
                  <c:v>29332.125497090416</c:v>
                </c:pt>
                <c:pt idx="90">
                  <c:v>22103.963795728672</c:v>
                </c:pt>
                <c:pt idx="91">
                  <c:v>28160.228955389899</c:v>
                </c:pt>
                <c:pt idx="92">
                  <c:v>28214.306335803929</c:v>
                </c:pt>
                <c:pt idx="93">
                  <c:v>20695.603526757131</c:v>
                </c:pt>
                <c:pt idx="94">
                  <c:v>26679.808773466255</c:v>
                </c:pt>
                <c:pt idx="95">
                  <c:v>17221.898042022614</c:v>
                </c:pt>
                <c:pt idx="96">
                  <c:v>31218.333613818821</c:v>
                </c:pt>
                <c:pt idx="97">
                  <c:v>21620.406121663131</c:v>
                </c:pt>
                <c:pt idx="98">
                  <c:v>35076.536473667438</c:v>
                </c:pt>
                <c:pt idx="99">
                  <c:v>25574.982356589637</c:v>
                </c:pt>
              </c:numCache>
            </c:numRef>
          </c:yVal>
          <c:smooth val="0"/>
          <c:extLst>
            <c:ext xmlns:c16="http://schemas.microsoft.com/office/drawing/2014/chart" uri="{C3380CC4-5D6E-409C-BE32-E72D297353CC}">
              <c16:uniqueId val="{00000002-5009-5D47-9335-8C7D9764ECBE}"/>
            </c:ext>
          </c:extLst>
        </c:ser>
        <c:dLbls>
          <c:showLegendKey val="0"/>
          <c:showVal val="0"/>
          <c:showCatName val="0"/>
          <c:showSerName val="0"/>
          <c:showPercent val="0"/>
          <c:showBubbleSize val="0"/>
        </c:dLbls>
        <c:axId val="2008631616"/>
        <c:axId val="2008609520"/>
      </c:scatterChart>
      <c:valAx>
        <c:axId val="2008631616"/>
        <c:scaling>
          <c:orientation val="minMax"/>
        </c:scaling>
        <c:delete val="0"/>
        <c:axPos val="b"/>
        <c:title>
          <c:tx>
            <c:rich>
              <a:bodyPr/>
              <a:lstStyle/>
              <a:p>
                <a:pPr>
                  <a:defRPr/>
                </a:pPr>
                <a:r>
                  <a:rPr lang="en-US"/>
                  <a:t>FuelConsumption_Lper100km</a:t>
                </a:r>
              </a:p>
            </c:rich>
          </c:tx>
          <c:overlay val="0"/>
        </c:title>
        <c:majorTickMark val="out"/>
        <c:minorTickMark val="none"/>
        <c:tickLblPos val="nextTo"/>
        <c:crossAx val="2008609520"/>
        <c:crosses val="autoZero"/>
        <c:crossBetween val="midCat"/>
      </c:valAx>
      <c:valAx>
        <c:axId val="2008609520"/>
        <c:scaling>
          <c:orientation val="minMax"/>
        </c:scaling>
        <c:delete val="0"/>
        <c:axPos val="l"/>
        <c:title>
          <c:tx>
            <c:rich>
              <a:bodyPr/>
              <a:lstStyle/>
              <a:p>
                <a:pPr>
                  <a:defRPr/>
                </a:pPr>
                <a:r>
                  <a:rPr lang="en-US"/>
                  <a:t>Price_USD</a:t>
                </a:r>
              </a:p>
            </c:rich>
          </c:tx>
          <c:overlay val="0"/>
        </c:title>
        <c:numFmt formatCode="General" sourceLinked="1"/>
        <c:majorTickMark val="out"/>
        <c:minorTickMark val="none"/>
        <c:tickLblPos val="nextTo"/>
        <c:crossAx val="2008631616"/>
        <c:crosses val="autoZero"/>
        <c:crossBetween val="midCat"/>
      </c:valAx>
    </c:plotArea>
    <c:legend>
      <c:legendPos val="r"/>
      <c:overlay val="0"/>
    </c:legend>
    <c:plotVisOnly val="1"/>
    <c:dispBlanksAs val="gap"/>
    <c:showDLblsOverMax val="0"/>
    <c:extLst>
      <c:ext xmlns:c16r3="http://schemas.microsoft.com/office/drawing/2017/03/chart" uri="{56B9EC1D-385E-4148-901F-78D8002777C0}">
        <c16r3:dataDisplayOptions16>
          <c16r3:dispNaAsBlank val="1"/>
        </c16r3:dataDisplayOptions16>
      </c:ext>
    </c:extLst>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1286931</xdr:colOff>
      <xdr:row>23</xdr:row>
      <xdr:rowOff>50800</xdr:rowOff>
    </xdr:from>
    <xdr:to>
      <xdr:col>1</xdr:col>
      <xdr:colOff>152400</xdr:colOff>
      <xdr:row>23</xdr:row>
      <xdr:rowOff>169334</xdr:rowOff>
    </xdr:to>
    <xdr:sp macro="" textlink="">
      <xdr:nvSpPr>
        <xdr:cNvPr id="2" name="Right Arrow 1">
          <a:extLst>
            <a:ext uri="{FF2B5EF4-FFF2-40B4-BE49-F238E27FC236}">
              <a16:creationId xmlns:a16="http://schemas.microsoft.com/office/drawing/2014/main" id="{3551ADFA-F79D-53AA-4544-EC3970D62583}"/>
            </a:ext>
          </a:extLst>
        </xdr:cNvPr>
        <xdr:cNvSpPr/>
      </xdr:nvSpPr>
      <xdr:spPr>
        <a:xfrm>
          <a:off x="1286931" y="6138333"/>
          <a:ext cx="821269" cy="118534"/>
        </a:xfrm>
        <a:prstGeom prst="rightArrow">
          <a:avLst/>
        </a:prstGeom>
        <a:solidFill>
          <a:srgbClr val="0432FF"/>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4</xdr:col>
      <xdr:colOff>543278</xdr:colOff>
      <xdr:row>45</xdr:row>
      <xdr:rowOff>465666</xdr:rowOff>
    </xdr:from>
    <xdr:to>
      <xdr:col>5</xdr:col>
      <xdr:colOff>1134181</xdr:colOff>
      <xdr:row>45</xdr:row>
      <xdr:rowOff>1566333</xdr:rowOff>
    </xdr:to>
    <xdr:pic>
      <xdr:nvPicPr>
        <xdr:cNvPr id="5" name="Picture 4">
          <a:extLst>
            <a:ext uri="{FF2B5EF4-FFF2-40B4-BE49-F238E27FC236}">
              <a16:creationId xmlns:a16="http://schemas.microsoft.com/office/drawing/2014/main" id="{5668C83F-7ADD-A620-C400-8D7FEEE628B4}"/>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5464" t="1196" r="3201" b="5567"/>
        <a:stretch/>
      </xdr:blipFill>
      <xdr:spPr>
        <a:xfrm>
          <a:off x="5842000" y="16418277"/>
          <a:ext cx="1651000" cy="1100667"/>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10</xdr:col>
      <xdr:colOff>355600</xdr:colOff>
      <xdr:row>3</xdr:row>
      <xdr:rowOff>177800</xdr:rowOff>
    </xdr:from>
    <xdr:to>
      <xdr:col>17</xdr:col>
      <xdr:colOff>520700</xdr:colOff>
      <xdr:row>19</xdr:row>
      <xdr:rowOff>63500</xdr:rowOff>
    </xdr:to>
    <xdr:graphicFrame macro="">
      <xdr:nvGraphicFramePr>
        <xdr:cNvPr id="2" name="Chart 1">
          <a:extLst>
            <a:ext uri="{FF2B5EF4-FFF2-40B4-BE49-F238E27FC236}">
              <a16:creationId xmlns:a16="http://schemas.microsoft.com/office/drawing/2014/main" id="{9D9B0756-5C62-B85B-2718-19A8618CC44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17</xdr:col>
      <xdr:colOff>711200</xdr:colOff>
      <xdr:row>3</xdr:row>
      <xdr:rowOff>177800</xdr:rowOff>
    </xdr:from>
    <xdr:to>
      <xdr:col>25</xdr:col>
      <xdr:colOff>431800</xdr:colOff>
      <xdr:row>19</xdr:row>
      <xdr:rowOff>63500</xdr:rowOff>
    </xdr:to>
    <xdr:graphicFrame macro="">
      <xdr:nvGraphicFramePr>
        <xdr:cNvPr id="3" name="Chart 2">
          <a:extLst>
            <a:ext uri="{FF2B5EF4-FFF2-40B4-BE49-F238E27FC236}">
              <a16:creationId xmlns:a16="http://schemas.microsoft.com/office/drawing/2014/main" id="{DE832E47-E16A-497C-8B34-C908E6F09CF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355600</xdr:colOff>
      <xdr:row>20</xdr:row>
      <xdr:rowOff>127000</xdr:rowOff>
    </xdr:from>
    <xdr:to>
      <xdr:col>17</xdr:col>
      <xdr:colOff>469900</xdr:colOff>
      <xdr:row>33</xdr:row>
      <xdr:rowOff>88900</xdr:rowOff>
    </xdr:to>
    <xdr:graphicFrame macro="">
      <xdr:nvGraphicFramePr>
        <xdr:cNvPr id="4" name="Chart 3">
          <a:extLst>
            <a:ext uri="{FF2B5EF4-FFF2-40B4-BE49-F238E27FC236}">
              <a16:creationId xmlns:a16="http://schemas.microsoft.com/office/drawing/2014/main" id="{96FA8784-D206-912D-5FB1-32C56CAC99B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17</xdr:col>
      <xdr:colOff>723900</xdr:colOff>
      <xdr:row>20</xdr:row>
      <xdr:rowOff>127000</xdr:rowOff>
    </xdr:from>
    <xdr:to>
      <xdr:col>25</xdr:col>
      <xdr:colOff>419100</xdr:colOff>
      <xdr:row>33</xdr:row>
      <xdr:rowOff>25400</xdr:rowOff>
    </xdr:to>
    <xdr:graphicFrame macro="">
      <xdr:nvGraphicFramePr>
        <xdr:cNvPr id="5" name="Chart 4">
          <a:extLst>
            <a:ext uri="{FF2B5EF4-FFF2-40B4-BE49-F238E27FC236}">
              <a16:creationId xmlns:a16="http://schemas.microsoft.com/office/drawing/2014/main" id="{BE3D5DC5-F462-44EF-79A0-E2C180E0A5D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B5CDFB-3027-DD4A-9777-5432878021DB}">
  <sheetPr>
    <outlinePr summaryBelow="0"/>
  </sheetPr>
  <dimension ref="B1:J13"/>
  <sheetViews>
    <sheetView showGridLines="0" zoomScale="120" zoomScaleNormal="120" workbookViewId="0">
      <selection activeCell="I10" sqref="I10"/>
    </sheetView>
  </sheetViews>
  <sheetFormatPr baseColWidth="10" defaultRowHeight="16" outlineLevelRow="1" outlineLevelCol="1" x14ac:dyDescent="0.2"/>
  <cols>
    <col min="3" max="3" width="10.6640625" bestFit="1" customWidth="1"/>
    <col min="4" max="10" width="15.1640625" bestFit="1" customWidth="1" outlineLevel="1"/>
  </cols>
  <sheetData>
    <row r="1" spans="2:10" ht="17" thickBot="1" x14ac:dyDescent="0.25"/>
    <row r="2" spans="2:10" ht="19" x14ac:dyDescent="0.25">
      <c r="B2" s="55" t="s">
        <v>54</v>
      </c>
      <c r="C2" s="55"/>
      <c r="D2" s="60"/>
      <c r="E2" s="60"/>
      <c r="F2" s="60"/>
      <c r="G2" s="60"/>
      <c r="H2" s="60"/>
      <c r="I2" s="60"/>
      <c r="J2" s="60"/>
    </row>
    <row r="3" spans="2:10" ht="19" collapsed="1" x14ac:dyDescent="0.25">
      <c r="B3" s="54"/>
      <c r="C3" s="54"/>
      <c r="D3" s="61" t="s">
        <v>56</v>
      </c>
      <c r="E3" s="61" t="s">
        <v>49</v>
      </c>
      <c r="F3" s="61" t="s">
        <v>50</v>
      </c>
      <c r="G3" s="61" t="s">
        <v>51</v>
      </c>
      <c r="H3" s="61" t="s">
        <v>52</v>
      </c>
      <c r="I3" s="61" t="s">
        <v>53</v>
      </c>
      <c r="J3" s="61" t="s">
        <v>291</v>
      </c>
    </row>
    <row r="4" spans="2:10" ht="48" hidden="1" outlineLevel="1" x14ac:dyDescent="0.2">
      <c r="B4" s="57"/>
      <c r="C4" s="57"/>
      <c r="E4" s="76" t="s">
        <v>77</v>
      </c>
      <c r="F4" s="76" t="s">
        <v>77</v>
      </c>
      <c r="G4" s="76" t="s">
        <v>77</v>
      </c>
      <c r="H4" s="76" t="s">
        <v>77</v>
      </c>
      <c r="I4" s="76" t="s">
        <v>82</v>
      </c>
      <c r="J4" s="76" t="s">
        <v>78</v>
      </c>
    </row>
    <row r="5" spans="2:10" x14ac:dyDescent="0.2">
      <c r="B5" s="58" t="s">
        <v>55</v>
      </c>
      <c r="C5" s="58"/>
      <c r="D5" s="56"/>
      <c r="E5" s="56"/>
      <c r="F5" s="56"/>
      <c r="G5" s="56"/>
      <c r="H5" s="56"/>
      <c r="I5" s="56"/>
      <c r="J5" s="56"/>
    </row>
    <row r="6" spans="2:10" outlineLevel="1" x14ac:dyDescent="0.2">
      <c r="B6" s="57"/>
      <c r="C6" s="57" t="s">
        <v>45</v>
      </c>
      <c r="D6" s="1">
        <v>800000000</v>
      </c>
      <c r="E6" s="62">
        <v>800000000</v>
      </c>
      <c r="F6" s="62">
        <v>800000000</v>
      </c>
      <c r="G6" s="62">
        <v>1000000000</v>
      </c>
      <c r="H6" s="62">
        <v>1000000000</v>
      </c>
      <c r="I6" s="62">
        <v>1000000000</v>
      </c>
      <c r="J6" s="62">
        <v>900000000</v>
      </c>
    </row>
    <row r="7" spans="2:10" outlineLevel="1" x14ac:dyDescent="0.2">
      <c r="B7" s="57"/>
      <c r="C7" s="57" t="s">
        <v>46</v>
      </c>
      <c r="D7">
        <v>60</v>
      </c>
      <c r="E7" s="63">
        <v>60</v>
      </c>
      <c r="F7" s="63">
        <v>60</v>
      </c>
      <c r="G7" s="63">
        <v>72</v>
      </c>
      <c r="H7" s="63">
        <v>72</v>
      </c>
      <c r="I7" s="63">
        <v>60</v>
      </c>
      <c r="J7" s="63">
        <v>100</v>
      </c>
    </row>
    <row r="8" spans="2:10" outlineLevel="1" x14ac:dyDescent="0.2">
      <c r="B8" s="57"/>
      <c r="C8" s="57" t="s">
        <v>47</v>
      </c>
      <c r="D8" s="53">
        <v>7.0000000000000007E-2</v>
      </c>
      <c r="E8" s="64">
        <v>0.05</v>
      </c>
      <c r="F8" s="64">
        <v>7.0000000000000007E-2</v>
      </c>
      <c r="G8" s="64">
        <v>0.05</v>
      </c>
      <c r="H8" s="64">
        <v>0.09</v>
      </c>
      <c r="I8" s="64">
        <v>7.0000000000000007E-2</v>
      </c>
      <c r="J8" s="64">
        <v>0.1</v>
      </c>
    </row>
    <row r="9" spans="2:10" x14ac:dyDescent="0.2">
      <c r="B9" s="58" t="s">
        <v>57</v>
      </c>
      <c r="C9" s="58"/>
      <c r="D9" s="56"/>
      <c r="E9" s="56"/>
      <c r="F9" s="56"/>
      <c r="G9" s="56"/>
      <c r="H9" s="56"/>
      <c r="I9" s="56"/>
      <c r="J9" s="56"/>
    </row>
    <row r="10" spans="2:10" ht="17" outlineLevel="1" thickBot="1" x14ac:dyDescent="0.25">
      <c r="B10" s="59"/>
      <c r="C10" s="59" t="s">
        <v>48</v>
      </c>
      <c r="D10" s="35">
        <v>15840958.8322796</v>
      </c>
      <c r="E10" s="35">
        <v>15096986.915208699</v>
      </c>
      <c r="F10" s="35">
        <v>15840958.8322796</v>
      </c>
      <c r="G10" s="35">
        <v>16104932.6614509</v>
      </c>
      <c r="H10" s="35">
        <v>18025537.168271799</v>
      </c>
      <c r="I10" s="35">
        <v>19801198.540349498</v>
      </c>
      <c r="J10" s="35">
        <v>13300265.7427314</v>
      </c>
    </row>
    <row r="11" spans="2:10" x14ac:dyDescent="0.2">
      <c r="B11" t="s">
        <v>79</v>
      </c>
    </row>
    <row r="12" spans="2:10" x14ac:dyDescent="0.2">
      <c r="B12" t="s">
        <v>80</v>
      </c>
    </row>
    <row r="13" spans="2:10" x14ac:dyDescent="0.2">
      <c r="B13" t="s">
        <v>81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06615E-A054-C04E-9DDA-E12916C6D706}">
  <dimension ref="A1:L57"/>
  <sheetViews>
    <sheetView tabSelected="1" topLeftCell="A5" zoomScale="180" zoomScaleNormal="180" workbookViewId="0">
      <selection activeCell="A7" sqref="A7:B16"/>
    </sheetView>
  </sheetViews>
  <sheetFormatPr baseColWidth="10" defaultRowHeight="16" x14ac:dyDescent="0.2"/>
  <cols>
    <col min="1" max="1" width="25.6640625" bestFit="1" customWidth="1"/>
    <col min="2" max="2" width="15.6640625" bestFit="1" customWidth="1"/>
    <col min="3" max="4" width="14.33203125" customWidth="1"/>
    <col min="5" max="5" width="14" bestFit="1" customWidth="1"/>
    <col min="6" max="8" width="15.6640625" bestFit="1" customWidth="1"/>
    <col min="9" max="10" width="13.1640625" customWidth="1"/>
  </cols>
  <sheetData>
    <row r="1" spans="1:8" x14ac:dyDescent="0.2">
      <c r="A1" t="s">
        <v>4</v>
      </c>
      <c r="B1" s="1">
        <v>800000000</v>
      </c>
      <c r="C1" s="11" t="s">
        <v>7</v>
      </c>
      <c r="E1" s="78" t="s">
        <v>290</v>
      </c>
      <c r="F1" s="78"/>
    </row>
    <row r="2" spans="1:8" x14ac:dyDescent="0.2">
      <c r="A2" t="s">
        <v>14</v>
      </c>
      <c r="B2">
        <v>60</v>
      </c>
      <c r="C2" s="11" t="s">
        <v>8</v>
      </c>
    </row>
    <row r="3" spans="1:8" x14ac:dyDescent="0.2">
      <c r="A3" t="s">
        <v>5</v>
      </c>
      <c r="B3" s="6">
        <v>7.0000000000000007E-2</v>
      </c>
      <c r="C3" s="11" t="s">
        <v>9</v>
      </c>
    </row>
    <row r="4" spans="1:8" x14ac:dyDescent="0.2">
      <c r="A4" t="s">
        <v>6</v>
      </c>
      <c r="B4" s="7">
        <f>-PMT((B3/12), B2, B1)</f>
        <v>15840958.832279628</v>
      </c>
      <c r="C4" s="5" t="s">
        <v>10</v>
      </c>
    </row>
    <row r="6" spans="1:8" ht="148" customHeight="1" thickBot="1" x14ac:dyDescent="0.25">
      <c r="A6" s="106" t="s">
        <v>74</v>
      </c>
      <c r="B6" s="106"/>
      <c r="C6" s="106"/>
      <c r="D6" s="106"/>
      <c r="E6" s="106"/>
      <c r="F6" s="106"/>
      <c r="G6" s="106"/>
      <c r="H6" s="106"/>
    </row>
    <row r="7" spans="1:8" x14ac:dyDescent="0.2">
      <c r="A7" s="39" t="s">
        <v>3</v>
      </c>
      <c r="B7" s="40">
        <f>KhoanThanhToan</f>
        <v>15840958.832279628</v>
      </c>
      <c r="G7" s="11"/>
    </row>
    <row r="8" spans="1:8" x14ac:dyDescent="0.2">
      <c r="A8" s="41">
        <f>LaiSuat</f>
        <v>7.0000000000000007E-2</v>
      </c>
      <c r="B8" s="42"/>
      <c r="G8" s="5"/>
    </row>
    <row r="9" spans="1:8" x14ac:dyDescent="0.2">
      <c r="A9" s="41">
        <f>A8+1%</f>
        <v>0.08</v>
      </c>
      <c r="B9" s="42"/>
      <c r="G9" s="5"/>
    </row>
    <row r="10" spans="1:8" x14ac:dyDescent="0.2">
      <c r="A10" s="41">
        <f t="shared" ref="A10:A16" si="0">A9+1%</f>
        <v>0.09</v>
      </c>
      <c r="B10" s="42"/>
      <c r="G10" s="5"/>
    </row>
    <row r="11" spans="1:8" x14ac:dyDescent="0.2">
      <c r="A11" s="41">
        <f t="shared" si="0"/>
        <v>9.9999999999999992E-2</v>
      </c>
      <c r="B11" s="42"/>
      <c r="G11" s="5"/>
    </row>
    <row r="12" spans="1:8" x14ac:dyDescent="0.2">
      <c r="A12" s="41">
        <f t="shared" si="0"/>
        <v>0.10999999999999999</v>
      </c>
      <c r="B12" s="42"/>
      <c r="G12" s="5"/>
    </row>
    <row r="13" spans="1:8" x14ac:dyDescent="0.2">
      <c r="A13" s="41">
        <f t="shared" si="0"/>
        <v>0.11999999999999998</v>
      </c>
      <c r="B13" s="42"/>
    </row>
    <row r="14" spans="1:8" x14ac:dyDescent="0.2">
      <c r="A14" s="41">
        <f t="shared" si="0"/>
        <v>0.12999999999999998</v>
      </c>
      <c r="B14" s="42"/>
    </row>
    <row r="15" spans="1:8" x14ac:dyDescent="0.2">
      <c r="A15" s="41">
        <f t="shared" si="0"/>
        <v>0.13999999999999999</v>
      </c>
      <c r="B15" s="42"/>
    </row>
    <row r="16" spans="1:8" ht="17" thickBot="1" x14ac:dyDescent="0.25">
      <c r="A16" s="43">
        <f t="shared" si="0"/>
        <v>0.15</v>
      </c>
      <c r="B16" s="44"/>
    </row>
    <row r="17" spans="1:12" x14ac:dyDescent="0.2">
      <c r="A17" s="13"/>
      <c r="B17" s="10"/>
    </row>
    <row r="18" spans="1:12" ht="155" customHeight="1" thickBot="1" x14ac:dyDescent="0.25">
      <c r="A18" s="106" t="s">
        <v>75</v>
      </c>
      <c r="B18" s="106"/>
      <c r="C18" s="106"/>
      <c r="D18" s="106"/>
      <c r="E18" s="106"/>
      <c r="F18" s="106"/>
      <c r="G18" s="106"/>
      <c r="H18" s="106"/>
    </row>
    <row r="19" spans="1:12" x14ac:dyDescent="0.2">
      <c r="A19" s="45" t="s">
        <v>13</v>
      </c>
      <c r="B19" s="46">
        <f>5*12</f>
        <v>60</v>
      </c>
      <c r="C19" s="46">
        <f>B19+12</f>
        <v>72</v>
      </c>
      <c r="D19" s="46">
        <f t="shared" ref="D19:G19" si="1">C19+12</f>
        <v>84</v>
      </c>
      <c r="E19" s="46">
        <f t="shared" si="1"/>
        <v>96</v>
      </c>
      <c r="F19" s="46">
        <f t="shared" si="1"/>
        <v>108</v>
      </c>
      <c r="G19" s="47">
        <f t="shared" si="1"/>
        <v>120</v>
      </c>
      <c r="H19" s="15"/>
    </row>
    <row r="20" spans="1:12" ht="17" thickBot="1" x14ac:dyDescent="0.25">
      <c r="A20" s="48">
        <f>KhoanThanhToan</f>
        <v>15840958.832279628</v>
      </c>
      <c r="B20" s="49"/>
      <c r="C20" s="49"/>
      <c r="D20" s="49"/>
      <c r="E20" s="49"/>
      <c r="F20" s="49"/>
      <c r="G20" s="44"/>
      <c r="H20" s="13"/>
      <c r="I20" s="13"/>
      <c r="J20" s="13"/>
      <c r="L20" s="11"/>
    </row>
    <row r="21" spans="1:12" x14ac:dyDescent="0.2">
      <c r="A21" s="9"/>
      <c r="B21" s="10"/>
      <c r="C21" s="10"/>
      <c r="D21" s="10"/>
      <c r="E21" s="10"/>
      <c r="F21" s="10"/>
      <c r="G21" s="10"/>
      <c r="H21" s="10"/>
      <c r="I21" s="10"/>
      <c r="J21" s="10"/>
      <c r="L21" s="5"/>
    </row>
    <row r="22" spans="1:12" ht="178" customHeight="1" x14ac:dyDescent="0.2">
      <c r="A22" s="106" t="s">
        <v>68</v>
      </c>
      <c r="B22" s="106"/>
      <c r="C22" s="106"/>
      <c r="D22" s="106"/>
      <c r="E22" s="106"/>
      <c r="F22" s="106"/>
      <c r="G22" s="106"/>
      <c r="H22" s="106"/>
    </row>
    <row r="23" spans="1:12" ht="17" thickBot="1" x14ac:dyDescent="0.25">
      <c r="C23" s="107" t="s">
        <v>11</v>
      </c>
      <c r="D23" s="107"/>
      <c r="E23" s="107"/>
      <c r="F23" s="107"/>
      <c r="G23" s="107"/>
      <c r="H23" s="107"/>
    </row>
    <row r="24" spans="1:12" x14ac:dyDescent="0.2">
      <c r="A24" s="12" t="s">
        <v>12</v>
      </c>
      <c r="B24" s="50">
        <f>KhoanThanhToan</f>
        <v>15840958.832279628</v>
      </c>
      <c r="C24" s="51">
        <v>60</v>
      </c>
      <c r="D24" s="51">
        <f>C24+12</f>
        <v>72</v>
      </c>
      <c r="E24" s="51">
        <f t="shared" ref="E24:H24" si="2">D24+12</f>
        <v>84</v>
      </c>
      <c r="F24" s="51">
        <f t="shared" si="2"/>
        <v>96</v>
      </c>
      <c r="G24" s="51">
        <f t="shared" si="2"/>
        <v>108</v>
      </c>
      <c r="H24" s="52">
        <f t="shared" si="2"/>
        <v>120</v>
      </c>
      <c r="I24" s="11"/>
    </row>
    <row r="25" spans="1:12" x14ac:dyDescent="0.2">
      <c r="A25" s="108" t="s">
        <v>5</v>
      </c>
      <c r="B25" s="41">
        <f>LaiSuat</f>
        <v>7.0000000000000007E-2</v>
      </c>
      <c r="C25" s="10"/>
      <c r="D25" s="10"/>
      <c r="E25" s="10"/>
      <c r="F25" s="10"/>
      <c r="G25" s="10"/>
      <c r="H25" s="42"/>
      <c r="I25" s="5"/>
    </row>
    <row r="26" spans="1:12" x14ac:dyDescent="0.2">
      <c r="A26" s="108"/>
      <c r="B26" s="41">
        <f>B25+1%</f>
        <v>0.08</v>
      </c>
      <c r="C26" s="10"/>
      <c r="D26" s="10"/>
      <c r="E26" s="10"/>
      <c r="F26" s="10"/>
      <c r="G26" s="10"/>
      <c r="H26" s="42"/>
      <c r="I26" s="5"/>
    </row>
    <row r="27" spans="1:12" x14ac:dyDescent="0.2">
      <c r="A27" s="108"/>
      <c r="B27" s="41">
        <f t="shared" ref="B27:B33" si="3">B26+1%</f>
        <v>0.09</v>
      </c>
      <c r="C27" s="10"/>
      <c r="D27" s="10"/>
      <c r="E27" s="10"/>
      <c r="F27" s="10"/>
      <c r="G27" s="10"/>
      <c r="H27" s="42"/>
      <c r="I27" s="5"/>
    </row>
    <row r="28" spans="1:12" x14ac:dyDescent="0.2">
      <c r="A28" s="108"/>
      <c r="B28" s="41">
        <f t="shared" si="3"/>
        <v>9.9999999999999992E-2</v>
      </c>
      <c r="C28" s="10"/>
      <c r="D28" s="10"/>
      <c r="E28" s="10"/>
      <c r="F28" s="10"/>
      <c r="G28" s="10"/>
      <c r="H28" s="42"/>
      <c r="I28" s="5"/>
    </row>
    <row r="29" spans="1:12" x14ac:dyDescent="0.2">
      <c r="A29" s="108"/>
      <c r="B29" s="41">
        <f t="shared" si="3"/>
        <v>0.10999999999999999</v>
      </c>
      <c r="C29" s="10"/>
      <c r="D29" s="10"/>
      <c r="E29" s="10"/>
      <c r="F29" s="10"/>
      <c r="G29" s="10"/>
      <c r="H29" s="42"/>
      <c r="I29" s="5"/>
    </row>
    <row r="30" spans="1:12" x14ac:dyDescent="0.2">
      <c r="A30" s="108"/>
      <c r="B30" s="41">
        <f t="shared" si="3"/>
        <v>0.11999999999999998</v>
      </c>
      <c r="C30" s="10"/>
      <c r="D30" s="10"/>
      <c r="E30" s="10"/>
      <c r="F30" s="10"/>
      <c r="G30" s="10"/>
      <c r="H30" s="42"/>
    </row>
    <row r="31" spans="1:12" x14ac:dyDescent="0.2">
      <c r="A31" s="108"/>
      <c r="B31" s="41">
        <f t="shared" si="3"/>
        <v>0.12999999999999998</v>
      </c>
      <c r="C31" s="72"/>
      <c r="D31" s="72"/>
      <c r="E31" s="72"/>
      <c r="F31" s="72"/>
      <c r="G31" s="72"/>
      <c r="H31" s="73"/>
    </row>
    <row r="32" spans="1:12" x14ac:dyDescent="0.2">
      <c r="A32" s="108"/>
      <c r="B32" s="41">
        <f t="shared" si="3"/>
        <v>0.13999999999999999</v>
      </c>
      <c r="C32" s="10"/>
      <c r="D32" s="10"/>
      <c r="E32" s="10"/>
      <c r="F32" s="10"/>
      <c r="G32" s="10"/>
      <c r="H32" s="42"/>
    </row>
    <row r="33" spans="1:8" ht="17" thickBot="1" x14ac:dyDescent="0.25">
      <c r="A33" s="108"/>
      <c r="B33" s="43">
        <f t="shared" si="3"/>
        <v>0.15</v>
      </c>
      <c r="C33" s="49"/>
      <c r="D33" s="49"/>
      <c r="E33" s="49"/>
      <c r="F33" s="49"/>
      <c r="G33" s="49"/>
      <c r="H33" s="44"/>
    </row>
    <row r="35" spans="1:8" ht="103" customHeight="1" thickBot="1" x14ac:dyDescent="0.25">
      <c r="A35" s="106" t="s">
        <v>69</v>
      </c>
      <c r="B35" s="106"/>
      <c r="C35" s="106"/>
      <c r="D35" s="106"/>
      <c r="E35" s="106"/>
      <c r="F35" s="106"/>
      <c r="G35" s="106"/>
      <c r="H35" s="106"/>
    </row>
    <row r="36" spans="1:8" ht="17" thickBot="1" x14ac:dyDescent="0.25">
      <c r="A36" s="65">
        <f>KhoanThanhToan</f>
        <v>15840958.832279628</v>
      </c>
    </row>
    <row r="37" spans="1:8" ht="19" x14ac:dyDescent="0.25">
      <c r="A37" s="55" t="s">
        <v>54</v>
      </c>
      <c r="B37" s="55"/>
      <c r="C37" s="60"/>
      <c r="D37" s="60"/>
      <c r="E37" s="60"/>
      <c r="F37" s="60"/>
      <c r="G37" s="60"/>
      <c r="H37" s="60"/>
    </row>
    <row r="38" spans="1:8" ht="19" x14ac:dyDescent="0.25">
      <c r="A38" s="54"/>
      <c r="B38" s="54"/>
      <c r="C38" s="61" t="s">
        <v>56</v>
      </c>
      <c r="D38" s="61" t="s">
        <v>49</v>
      </c>
      <c r="E38" s="61" t="s">
        <v>50</v>
      </c>
      <c r="F38" s="61" t="s">
        <v>51</v>
      </c>
      <c r="G38" s="61" t="s">
        <v>52</v>
      </c>
      <c r="H38" s="61" t="s">
        <v>53</v>
      </c>
    </row>
    <row r="39" spans="1:8" x14ac:dyDescent="0.2">
      <c r="A39" s="58" t="s">
        <v>55</v>
      </c>
      <c r="B39" s="58"/>
      <c r="C39" s="56"/>
      <c r="D39" s="56"/>
      <c r="E39" s="56"/>
      <c r="F39" s="56"/>
      <c r="G39" s="56"/>
      <c r="H39" s="56"/>
    </row>
    <row r="40" spans="1:8" x14ac:dyDescent="0.2">
      <c r="A40" s="57"/>
      <c r="B40" s="57" t="s">
        <v>45</v>
      </c>
      <c r="C40" s="1">
        <v>800000000</v>
      </c>
      <c r="D40" s="62">
        <v>800000000</v>
      </c>
      <c r="E40" s="62">
        <v>800000000</v>
      </c>
      <c r="F40" s="62">
        <v>1000000000</v>
      </c>
      <c r="G40" s="62">
        <v>1000000000</v>
      </c>
      <c r="H40" s="62">
        <v>1000000000</v>
      </c>
    </row>
    <row r="41" spans="1:8" x14ac:dyDescent="0.2">
      <c r="A41" s="57"/>
      <c r="B41" s="57" t="s">
        <v>46</v>
      </c>
      <c r="C41">
        <v>60</v>
      </c>
      <c r="D41" s="63">
        <v>60</v>
      </c>
      <c r="E41" s="63">
        <v>60</v>
      </c>
      <c r="F41" s="63">
        <v>72</v>
      </c>
      <c r="G41" s="63">
        <v>72</v>
      </c>
      <c r="H41" s="63">
        <v>60</v>
      </c>
    </row>
    <row r="42" spans="1:8" x14ac:dyDescent="0.2">
      <c r="A42" s="57"/>
      <c r="B42" s="57" t="s">
        <v>47</v>
      </c>
      <c r="C42" s="53">
        <v>7.0000000000000007E-2</v>
      </c>
      <c r="D42" s="64">
        <v>0.05</v>
      </c>
      <c r="E42" s="64">
        <v>7.0000000000000007E-2</v>
      </c>
      <c r="F42" s="64">
        <v>0.05</v>
      </c>
      <c r="G42" s="64">
        <v>0.09</v>
      </c>
      <c r="H42" s="64">
        <v>7.0000000000000007E-2</v>
      </c>
    </row>
    <row r="43" spans="1:8" x14ac:dyDescent="0.2">
      <c r="A43" s="58" t="s">
        <v>57</v>
      </c>
      <c r="B43" s="58"/>
      <c r="C43" s="56"/>
      <c r="D43" s="56"/>
      <c r="E43" s="56"/>
      <c r="F43" s="56"/>
      <c r="G43" s="56"/>
      <c r="H43" s="56"/>
    </row>
    <row r="44" spans="1:8" ht="17" thickBot="1" x14ac:dyDescent="0.25">
      <c r="A44" s="59"/>
      <c r="B44" s="59" t="s">
        <v>48</v>
      </c>
      <c r="C44" s="35">
        <v>15840958.8322796</v>
      </c>
      <c r="D44" s="35">
        <v>15096986.915208699</v>
      </c>
      <c r="E44" s="35">
        <v>15840958.8322796</v>
      </c>
      <c r="F44" s="35">
        <v>16104932.6614509</v>
      </c>
      <c r="G44" s="35">
        <v>18025537.168271799</v>
      </c>
      <c r="H44" s="35">
        <v>19801198.540349498</v>
      </c>
    </row>
    <row r="46" spans="1:8" ht="134" customHeight="1" x14ac:dyDescent="0.2">
      <c r="A46" s="106" t="s">
        <v>76</v>
      </c>
      <c r="B46" s="106"/>
      <c r="C46" s="106"/>
      <c r="D46" s="106"/>
      <c r="E46" s="106"/>
      <c r="F46" s="106"/>
      <c r="G46" s="106"/>
      <c r="H46" s="106"/>
    </row>
    <row r="47" spans="1:8" x14ac:dyDescent="0.2">
      <c r="A47" t="s">
        <v>4</v>
      </c>
      <c r="B47" s="3">
        <v>1000000000</v>
      </c>
      <c r="C47" s="2" t="s">
        <v>73</v>
      </c>
    </row>
    <row r="48" spans="1:8" x14ac:dyDescent="0.2">
      <c r="A48" t="s">
        <v>14</v>
      </c>
      <c r="B48">
        <v>59.287765035203257</v>
      </c>
      <c r="C48" s="70" t="s">
        <v>72</v>
      </c>
    </row>
    <row r="49" spans="1:8" x14ac:dyDescent="0.2">
      <c r="A49" t="s">
        <v>5</v>
      </c>
      <c r="B49" s="71">
        <v>7.0000000000000007E-2</v>
      </c>
      <c r="C49" s="2" t="s">
        <v>73</v>
      </c>
    </row>
    <row r="50" spans="1:8" x14ac:dyDescent="0.2">
      <c r="A50" t="s">
        <v>6</v>
      </c>
      <c r="B50" s="1">
        <f>-PMT((B49/12), B48, B47)</f>
        <v>20000000.000000004</v>
      </c>
      <c r="C50" s="70" t="s">
        <v>71</v>
      </c>
    </row>
    <row r="53" spans="1:8" ht="160" customHeight="1" x14ac:dyDescent="0.2">
      <c r="A53" s="106" t="s">
        <v>70</v>
      </c>
      <c r="B53" s="106"/>
      <c r="C53" s="106"/>
      <c r="D53" s="106"/>
      <c r="E53" s="106"/>
      <c r="F53" s="106"/>
      <c r="G53" s="106"/>
      <c r="H53" s="106"/>
    </row>
    <row r="54" spans="1:8" x14ac:dyDescent="0.2">
      <c r="A54" t="s">
        <v>4</v>
      </c>
      <c r="B54" s="1">
        <v>1000000000</v>
      </c>
      <c r="C54" s="70" t="s">
        <v>72</v>
      </c>
    </row>
    <row r="55" spans="1:8" x14ac:dyDescent="0.2">
      <c r="A55" t="s">
        <v>14</v>
      </c>
      <c r="B55" s="2">
        <v>120</v>
      </c>
      <c r="C55" s="2" t="s">
        <v>73</v>
      </c>
    </row>
    <row r="56" spans="1:8" x14ac:dyDescent="0.2">
      <c r="A56" t="s">
        <v>5</v>
      </c>
      <c r="B56" s="71">
        <v>8.5000000000000006E-2</v>
      </c>
      <c r="C56" s="2" t="s">
        <v>73</v>
      </c>
    </row>
    <row r="57" spans="1:8" x14ac:dyDescent="0.2">
      <c r="A57" t="s">
        <v>6</v>
      </c>
      <c r="B57" s="1">
        <f>-PMT((B56/12), B55, B54)</f>
        <v>12398568.887451112</v>
      </c>
      <c r="C57" s="70" t="s">
        <v>71</v>
      </c>
    </row>
  </sheetData>
  <scenarios current="5" show="1" sqref="A36">
    <scenario name="Kich_ban_vay_1" locked="1" count="3" user="Microsoft Office User" comment="Created by Microsoft Office User on 2024-09-25_x000a_Modified by Microsoft Office User on 2024-09-25">
      <inputCells r="B1" val="800000000" numFmtId="4"/>
      <inputCells r="B2" val="60"/>
      <inputCells r="B3" val="0.05" numFmtId="164"/>
    </scenario>
    <scenario name="Kich_ban_vay_2" locked="1" count="3" user="Microsoft Office User" comment="Created by Microsoft Office User on 2024-09-25_x000a_Modified by Microsoft Office User on 2024-09-25">
      <inputCells r="B1" val="800000000" numFmtId="4"/>
      <inputCells r="B2" val="60"/>
      <inputCells r="B3" val="0.07" numFmtId="164"/>
    </scenario>
    <scenario name="Kich_ban_vay_3" locked="1" count="3" user="Microsoft Office User" comment="Created by Microsoft Office User on 2024-09-25_x000a_Modified by Microsoft Office User on 2024-09-25">
      <inputCells r="B1" val="1000000000" numFmtId="4"/>
      <inputCells r="B2" val="72"/>
      <inputCells r="B3" val="0.05" numFmtId="164"/>
    </scenario>
    <scenario name="Kich_ban_vay_4" locked="1" count="3" user="Microsoft Office User" comment="Created by Microsoft Office User on 2024-09-25_x000a_Modified by Microsoft Office User on 2024-09-25">
      <inputCells r="B1" val="1000000000" numFmtId="4"/>
      <inputCells r="B2" val="72"/>
      <inputCells r="B3" val="0.09" numFmtId="164"/>
    </scenario>
    <scenario name="Kich_ban_vay_5" locked="1" count="3" user="Microsoft Office User" comment="Created by Microsoft Office User on 2024-09-25">
      <inputCells r="B1" val="1000000000" numFmtId="4"/>
      <inputCells r="B2" val="60"/>
      <inputCells r="B3" val="0.07" numFmtId="164"/>
    </scenario>
    <scenario name="KB6" locked="1" count="3" user="Microsoft Office User" comment="Created by Microsoft Office User on 2025-09-27">
      <inputCells r="B1" val="900000000" numFmtId="4"/>
      <inputCells r="B2" val="100"/>
      <inputCells r="B3" val="0.1" numFmtId="164"/>
    </scenario>
  </scenarios>
  <mergeCells count="8">
    <mergeCell ref="A46:H46"/>
    <mergeCell ref="A53:H53"/>
    <mergeCell ref="A6:H6"/>
    <mergeCell ref="A22:H22"/>
    <mergeCell ref="C23:H23"/>
    <mergeCell ref="A25:A33"/>
    <mergeCell ref="A18:H18"/>
    <mergeCell ref="A35:H35"/>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0C7A3B-4DCA-584D-91C1-19A8BC6A441B}">
  <dimension ref="A1:J58"/>
  <sheetViews>
    <sheetView zoomScale="130" zoomScaleNormal="130" workbookViewId="0">
      <selection activeCell="B15" sqref="B15"/>
    </sheetView>
  </sheetViews>
  <sheetFormatPr baseColWidth="10" defaultRowHeight="16" x14ac:dyDescent="0.2"/>
  <cols>
    <col min="1" max="1" width="31.33203125" customWidth="1"/>
    <col min="2" max="2" width="22.5" bestFit="1" customWidth="1"/>
    <col min="3" max="3" width="6.33203125" bestFit="1" customWidth="1"/>
    <col min="4" max="4" width="20.5" customWidth="1"/>
    <col min="5" max="5" width="15.1640625" customWidth="1"/>
    <col min="6" max="6" width="13" bestFit="1" customWidth="1"/>
    <col min="7" max="8" width="14" customWidth="1"/>
    <col min="9" max="9" width="13.6640625" customWidth="1"/>
    <col min="10" max="10" width="12.83203125" customWidth="1"/>
  </cols>
  <sheetData>
    <row r="1" spans="1:9" x14ac:dyDescent="0.2">
      <c r="A1" t="s">
        <v>64</v>
      </c>
      <c r="B1" s="14">
        <v>1000</v>
      </c>
      <c r="D1" s="111" t="s">
        <v>42</v>
      </c>
      <c r="E1" s="111"/>
      <c r="F1" s="111"/>
      <c r="G1" s="111"/>
      <c r="H1" s="5" t="s">
        <v>21</v>
      </c>
    </row>
    <row r="2" spans="1:9" x14ac:dyDescent="0.2">
      <c r="A2" t="s">
        <v>18</v>
      </c>
      <c r="B2" s="1">
        <v>200000</v>
      </c>
      <c r="D2" s="21" t="s">
        <v>16</v>
      </c>
      <c r="E2" s="22">
        <f>(DoanhSo+DoanhSo*BienDoiDS)*DonGia</f>
        <v>240000000</v>
      </c>
      <c r="F2" s="20"/>
      <c r="G2" s="17"/>
      <c r="H2" s="5" t="s">
        <v>22</v>
      </c>
    </row>
    <row r="3" spans="1:9" ht="17" thickBot="1" x14ac:dyDescent="0.25">
      <c r="A3" t="s">
        <v>19</v>
      </c>
      <c r="B3" s="1">
        <v>50000000</v>
      </c>
      <c r="D3" s="21" t="s">
        <v>20</v>
      </c>
      <c r="E3" s="22">
        <f>ChiPhiHT</f>
        <v>170000000</v>
      </c>
      <c r="F3" s="20"/>
      <c r="G3" s="17"/>
      <c r="H3" s="5" t="s">
        <v>23</v>
      </c>
    </row>
    <row r="4" spans="1:9" x14ac:dyDescent="0.2">
      <c r="A4" t="s">
        <v>15</v>
      </c>
      <c r="B4" s="1">
        <v>120000</v>
      </c>
      <c r="D4" s="24" t="s">
        <v>1</v>
      </c>
      <c r="E4" s="25">
        <f>E2-E3</f>
        <v>70000000</v>
      </c>
      <c r="F4" s="20"/>
      <c r="G4" s="17"/>
      <c r="H4" s="5" t="s">
        <v>24</v>
      </c>
    </row>
    <row r="5" spans="1:9" x14ac:dyDescent="0.2">
      <c r="A5" s="8" t="s">
        <v>36</v>
      </c>
      <c r="B5" s="16">
        <v>0.05</v>
      </c>
      <c r="D5" s="26">
        <v>0.05</v>
      </c>
      <c r="E5" s="27"/>
      <c r="G5" s="1"/>
      <c r="H5" s="5" t="s">
        <v>25</v>
      </c>
    </row>
    <row r="6" spans="1:9" x14ac:dyDescent="0.2">
      <c r="A6" s="8" t="s">
        <v>37</v>
      </c>
      <c r="B6" s="16">
        <v>0.1</v>
      </c>
      <c r="D6" s="26">
        <v>0.1</v>
      </c>
      <c r="E6" s="27"/>
      <c r="G6" s="1"/>
    </row>
    <row r="7" spans="1:9" x14ac:dyDescent="0.2">
      <c r="A7" s="8" t="s">
        <v>38</v>
      </c>
      <c r="B7" s="16">
        <v>0.2</v>
      </c>
      <c r="D7" s="26">
        <v>0.15</v>
      </c>
      <c r="E7" s="27"/>
      <c r="G7" s="1"/>
    </row>
    <row r="8" spans="1:9" ht="17" thickBot="1" x14ac:dyDescent="0.25">
      <c r="A8" s="8" t="s">
        <v>39</v>
      </c>
      <c r="B8" s="16">
        <v>0.2</v>
      </c>
      <c r="D8" s="28">
        <v>0.2</v>
      </c>
      <c r="E8" s="29"/>
      <c r="G8" s="1"/>
    </row>
    <row r="9" spans="1:9" x14ac:dyDescent="0.2">
      <c r="A9" s="18" t="s">
        <v>65</v>
      </c>
      <c r="B9" s="19">
        <f>DoanhSo*DonGia</f>
        <v>200000000</v>
      </c>
      <c r="G9" s="1"/>
    </row>
    <row r="10" spans="1:9" x14ac:dyDescent="0.2">
      <c r="A10" s="18" t="s">
        <v>40</v>
      </c>
      <c r="B10" s="19">
        <f>ChiPhiCD+ChiPhiBD*DoanhSo</f>
        <v>170000000</v>
      </c>
      <c r="H10" s="5" t="s">
        <v>27</v>
      </c>
    </row>
    <row r="11" spans="1:9" x14ac:dyDescent="0.2">
      <c r="A11" s="18" t="s">
        <v>41</v>
      </c>
      <c r="B11" s="19">
        <f>DoanhThuHT-ChiPhiHT</f>
        <v>30000000</v>
      </c>
      <c r="H11" s="5" t="s">
        <v>26</v>
      </c>
    </row>
    <row r="12" spans="1:9" x14ac:dyDescent="0.2">
      <c r="D12" s="111" t="s">
        <v>43</v>
      </c>
      <c r="E12" s="111"/>
      <c r="F12" s="111"/>
      <c r="G12" s="111"/>
      <c r="H12" s="5" t="s">
        <v>28</v>
      </c>
    </row>
    <row r="13" spans="1:9" ht="16" customHeight="1" x14ac:dyDescent="0.2">
      <c r="D13" s="21" t="s">
        <v>16</v>
      </c>
      <c r="E13" s="22">
        <f>(DoanhSo+DoanhSo*BienDoiDS)*(DonGia-DonGia*BienDoiSP)</f>
        <v>228000000</v>
      </c>
      <c r="H13" s="5" t="s">
        <v>29</v>
      </c>
    </row>
    <row r="14" spans="1:9" x14ac:dyDescent="0.2">
      <c r="D14" s="21" t="s">
        <v>20</v>
      </c>
      <c r="E14" s="22">
        <f>ChiPhiHT</f>
        <v>170000000</v>
      </c>
      <c r="H14" s="5" t="s">
        <v>30</v>
      </c>
    </row>
    <row r="15" spans="1:9" ht="17" thickBot="1" x14ac:dyDescent="0.25">
      <c r="D15" s="4"/>
      <c r="E15" s="110" t="s">
        <v>2</v>
      </c>
      <c r="F15" s="110"/>
      <c r="G15" s="110"/>
      <c r="H15" s="110"/>
      <c r="I15" s="110"/>
    </row>
    <row r="16" spans="1:9" x14ac:dyDescent="0.2">
      <c r="D16" s="30">
        <f>E13-E14</f>
        <v>58000000</v>
      </c>
      <c r="E16" s="31">
        <v>0.01</v>
      </c>
      <c r="F16" s="31">
        <v>0.02</v>
      </c>
      <c r="G16" s="31">
        <v>0.03</v>
      </c>
      <c r="H16" s="31">
        <v>0.04</v>
      </c>
      <c r="I16" s="32">
        <v>0.05</v>
      </c>
    </row>
    <row r="17" spans="3:10" x14ac:dyDescent="0.2">
      <c r="C17" s="109" t="s">
        <v>1</v>
      </c>
      <c r="D17" s="33">
        <v>0.05</v>
      </c>
      <c r="E17" s="1">
        <f t="dataTable" ref="E17:I20" dt2D="1" dtr="1" r1="B5" r2="B7"/>
        <v>37900000</v>
      </c>
      <c r="F17" s="1">
        <v>35800000</v>
      </c>
      <c r="G17" s="1">
        <v>33700000</v>
      </c>
      <c r="H17" s="1">
        <v>31600000</v>
      </c>
      <c r="I17" s="27">
        <v>29500000</v>
      </c>
    </row>
    <row r="18" spans="3:10" x14ac:dyDescent="0.2">
      <c r="C18" s="109"/>
      <c r="D18" s="33">
        <v>0.1</v>
      </c>
      <c r="E18" s="1">
        <v>47800000</v>
      </c>
      <c r="F18" s="1">
        <v>45600000</v>
      </c>
      <c r="G18" s="1">
        <v>43400000</v>
      </c>
      <c r="H18" s="1">
        <v>41200000</v>
      </c>
      <c r="I18" s="27">
        <v>39000000</v>
      </c>
    </row>
    <row r="19" spans="3:10" x14ac:dyDescent="0.2">
      <c r="C19" s="109"/>
      <c r="D19" s="33">
        <v>0.15</v>
      </c>
      <c r="E19" s="1">
        <v>57700000</v>
      </c>
      <c r="F19" s="1">
        <v>55400000</v>
      </c>
      <c r="G19" s="1">
        <v>53100000</v>
      </c>
      <c r="H19" s="1">
        <v>50800000</v>
      </c>
      <c r="I19" s="27">
        <v>48500000</v>
      </c>
    </row>
    <row r="20" spans="3:10" ht="17" thickBot="1" x14ac:dyDescent="0.25">
      <c r="C20" s="109"/>
      <c r="D20" s="34">
        <v>0.2</v>
      </c>
      <c r="E20" s="35">
        <v>67600000</v>
      </c>
      <c r="F20" s="35">
        <v>65200000</v>
      </c>
      <c r="G20" s="35">
        <v>62800000</v>
      </c>
      <c r="H20" s="35">
        <v>60400000</v>
      </c>
      <c r="I20" s="29">
        <v>58000000</v>
      </c>
    </row>
    <row r="22" spans="3:10" x14ac:dyDescent="0.2">
      <c r="D22" s="23" t="s">
        <v>34</v>
      </c>
      <c r="E22" s="23"/>
      <c r="F22" s="23"/>
      <c r="G22" s="23"/>
      <c r="H22" s="23"/>
      <c r="I22" s="23"/>
      <c r="J22" s="23"/>
    </row>
    <row r="23" spans="3:10" x14ac:dyDescent="0.2">
      <c r="D23" s="21" t="s">
        <v>31</v>
      </c>
      <c r="E23" s="22">
        <f>DoanhThuHT</f>
        <v>200000000</v>
      </c>
    </row>
    <row r="24" spans="3:10" x14ac:dyDescent="0.2">
      <c r="D24" s="21" t="s">
        <v>17</v>
      </c>
      <c r="E24" s="22">
        <f>(ChiPhiCD+ChiPhiCD*BienDoiCPCD)+(ChiPhiBD-ChiPhiBD*BienDoiCPBD)*DoanhSo</f>
        <v>168000000</v>
      </c>
    </row>
    <row r="25" spans="3:10" ht="17" thickBot="1" x14ac:dyDescent="0.25">
      <c r="D25" s="4"/>
      <c r="E25" s="110" t="s">
        <v>33</v>
      </c>
      <c r="F25" s="110"/>
      <c r="G25" s="110"/>
      <c r="H25" s="110"/>
      <c r="I25" s="110"/>
      <c r="J25" s="110"/>
    </row>
    <row r="26" spans="3:10" x14ac:dyDescent="0.2">
      <c r="D26" s="30">
        <f>E23-E24</f>
        <v>32000000</v>
      </c>
      <c r="E26" s="31">
        <v>0.05</v>
      </c>
      <c r="F26" s="31">
        <v>0.06</v>
      </c>
      <c r="G26" s="31">
        <v>7.0000000000000007E-2</v>
      </c>
      <c r="H26" s="31">
        <v>0.08</v>
      </c>
      <c r="I26" s="31">
        <v>0.09</v>
      </c>
      <c r="J26" s="32">
        <v>0.1</v>
      </c>
    </row>
    <row r="27" spans="3:10" x14ac:dyDescent="0.2">
      <c r="C27" s="109" t="s">
        <v>32</v>
      </c>
      <c r="D27" s="33">
        <v>0.05</v>
      </c>
      <c r="E27" s="1"/>
      <c r="F27" s="1"/>
      <c r="G27" s="1"/>
      <c r="H27" s="1"/>
      <c r="I27" s="1"/>
      <c r="J27" s="27"/>
    </row>
    <row r="28" spans="3:10" x14ac:dyDescent="0.2">
      <c r="C28" s="109"/>
      <c r="D28" s="33">
        <v>0.1</v>
      </c>
      <c r="E28" s="1"/>
      <c r="F28" s="1"/>
      <c r="G28" s="1"/>
      <c r="H28" s="1"/>
      <c r="I28" s="1"/>
      <c r="J28" s="27"/>
    </row>
    <row r="29" spans="3:10" x14ac:dyDescent="0.2">
      <c r="C29" s="109"/>
      <c r="D29" s="33">
        <v>0.15</v>
      </c>
      <c r="E29" s="1"/>
      <c r="F29" s="1"/>
      <c r="G29" s="36"/>
      <c r="H29" s="1"/>
      <c r="I29" s="1"/>
      <c r="J29" s="27"/>
    </row>
    <row r="30" spans="3:10" ht="17" thickBot="1" x14ac:dyDescent="0.25">
      <c r="C30" s="109"/>
      <c r="D30" s="34">
        <v>0.2</v>
      </c>
      <c r="E30" s="35"/>
      <c r="F30" s="35"/>
      <c r="G30" s="35"/>
      <c r="H30" s="37"/>
      <c r="I30" s="37"/>
      <c r="J30" s="29"/>
    </row>
    <row r="32" spans="3:10" x14ac:dyDescent="0.2">
      <c r="D32" s="23" t="s">
        <v>35</v>
      </c>
      <c r="E32" s="23"/>
      <c r="F32" s="23"/>
      <c r="G32" s="23"/>
      <c r="H32" s="23"/>
      <c r="I32" s="23"/>
      <c r="J32" s="23"/>
    </row>
    <row r="33" spans="3:10" x14ac:dyDescent="0.2">
      <c r="D33" s="21" t="s">
        <v>16</v>
      </c>
      <c r="E33" s="22">
        <f>(DoanhSo+DoanhSo*BienDoiDS)*DonGia</f>
        <v>240000000</v>
      </c>
    </row>
    <row r="34" spans="3:10" x14ac:dyDescent="0.2">
      <c r="D34" s="21" t="s">
        <v>17</v>
      </c>
      <c r="E34" s="22">
        <f>(ChiPhiCD+ChiPhiCD*BienDoiCPCD)+ChiPhiBD*(DoanhSo+DoanhSo*BienDoiDS)</f>
        <v>204000000</v>
      </c>
    </row>
    <row r="35" spans="3:10" ht="17" thickBot="1" x14ac:dyDescent="0.25">
      <c r="D35" s="4"/>
      <c r="E35" s="110" t="s">
        <v>1</v>
      </c>
      <c r="F35" s="110"/>
      <c r="G35" s="110"/>
      <c r="H35" s="110"/>
      <c r="I35" s="110"/>
      <c r="J35" s="110"/>
    </row>
    <row r="36" spans="3:10" x14ac:dyDescent="0.2">
      <c r="D36" s="30">
        <f>E33-E34</f>
        <v>36000000</v>
      </c>
      <c r="E36" s="31">
        <v>0.04</v>
      </c>
      <c r="F36" s="31">
        <v>0.06</v>
      </c>
      <c r="G36" s="31">
        <v>0.08</v>
      </c>
      <c r="H36" s="31">
        <v>0.1</v>
      </c>
      <c r="I36" s="31">
        <v>0.12</v>
      </c>
      <c r="J36" s="32">
        <v>0.14000000000000001</v>
      </c>
    </row>
    <row r="37" spans="3:10" x14ac:dyDescent="0.2">
      <c r="C37" s="109" t="s">
        <v>32</v>
      </c>
      <c r="D37" s="33">
        <v>0.05</v>
      </c>
      <c r="E37" s="1"/>
      <c r="F37" s="1"/>
      <c r="G37" s="1"/>
      <c r="H37" s="1"/>
      <c r="I37" s="1"/>
      <c r="J37" s="27"/>
    </row>
    <row r="38" spans="3:10" x14ac:dyDescent="0.2">
      <c r="C38" s="109"/>
      <c r="D38" s="33">
        <v>0.1</v>
      </c>
      <c r="E38" s="1"/>
      <c r="F38" s="1"/>
      <c r="G38" s="1"/>
      <c r="H38" s="1"/>
      <c r="I38" s="1"/>
      <c r="J38" s="27"/>
    </row>
    <row r="39" spans="3:10" x14ac:dyDescent="0.2">
      <c r="C39" s="109"/>
      <c r="D39" s="33">
        <v>0.15</v>
      </c>
      <c r="E39" s="1"/>
      <c r="F39" s="1"/>
      <c r="G39" s="1"/>
      <c r="H39" s="36"/>
      <c r="I39" s="1"/>
      <c r="J39" s="27"/>
    </row>
    <row r="40" spans="3:10" ht="17" thickBot="1" x14ac:dyDescent="0.25">
      <c r="C40" s="109"/>
      <c r="D40" s="34">
        <v>0.2</v>
      </c>
      <c r="E40" s="35"/>
      <c r="F40" s="35"/>
      <c r="G40" s="35"/>
      <c r="H40" s="35"/>
      <c r="I40" s="37"/>
      <c r="J40" s="38"/>
    </row>
    <row r="42" spans="3:10" x14ac:dyDescent="0.2">
      <c r="D42" s="23" t="s">
        <v>58</v>
      </c>
      <c r="E42" s="23"/>
      <c r="F42" s="23"/>
      <c r="G42" s="23"/>
      <c r="H42" s="23"/>
      <c r="I42" s="23"/>
      <c r="J42" s="23"/>
    </row>
    <row r="43" spans="3:10" x14ac:dyDescent="0.2">
      <c r="D43" s="21" t="s">
        <v>16</v>
      </c>
      <c r="E43" s="22">
        <f>DoanhSo*(DonGia + DonGia*BienDoiSP)</f>
        <v>210000000</v>
      </c>
    </row>
    <row r="44" spans="3:10" x14ac:dyDescent="0.2">
      <c r="D44" s="21" t="s">
        <v>17</v>
      </c>
      <c r="E44" s="22">
        <f>(ChiPhiCD+ChiPhiCD*BienDoiCPCD)+ChiPhiBD*DoanhSo</f>
        <v>180000000</v>
      </c>
    </row>
    <row r="45" spans="3:10" ht="17" thickBot="1" x14ac:dyDescent="0.25">
      <c r="D45" s="4"/>
      <c r="E45" s="110" t="s">
        <v>44</v>
      </c>
      <c r="F45" s="110"/>
      <c r="G45" s="110"/>
      <c r="H45" s="110"/>
      <c r="I45" s="110"/>
      <c r="J45" s="110"/>
    </row>
    <row r="46" spans="3:10" x14ac:dyDescent="0.2">
      <c r="D46" s="30">
        <f>E43-E44</f>
        <v>30000000</v>
      </c>
      <c r="E46" s="31">
        <v>0.05</v>
      </c>
      <c r="F46" s="31">
        <v>0.06</v>
      </c>
      <c r="G46" s="31">
        <v>7.0000000000000007E-2</v>
      </c>
      <c r="H46" s="31">
        <v>0.08</v>
      </c>
      <c r="I46" s="31">
        <v>0.09</v>
      </c>
      <c r="J46" s="32">
        <v>0.1</v>
      </c>
    </row>
    <row r="47" spans="3:10" x14ac:dyDescent="0.2">
      <c r="C47" s="109" t="s">
        <v>32</v>
      </c>
      <c r="D47" s="33">
        <v>0.05</v>
      </c>
      <c r="E47" s="1"/>
      <c r="F47" s="1"/>
      <c r="G47" s="1"/>
      <c r="H47" s="1"/>
      <c r="I47" s="1"/>
      <c r="J47" s="27"/>
    </row>
    <row r="48" spans="3:10" x14ac:dyDescent="0.2">
      <c r="C48" s="109"/>
      <c r="D48" s="33">
        <v>0.1</v>
      </c>
      <c r="E48" s="1"/>
      <c r="F48" s="1"/>
      <c r="G48" s="1"/>
      <c r="H48" s="1"/>
      <c r="I48" s="1"/>
      <c r="J48" s="27"/>
    </row>
    <row r="49" spans="3:10" x14ac:dyDescent="0.2">
      <c r="C49" s="109"/>
      <c r="D49" s="33">
        <v>0.15</v>
      </c>
      <c r="E49" s="1"/>
      <c r="F49" s="1"/>
      <c r="G49" s="1"/>
      <c r="H49" s="1"/>
      <c r="I49" s="1"/>
      <c r="J49" s="27"/>
    </row>
    <row r="50" spans="3:10" ht="17" thickBot="1" x14ac:dyDescent="0.25">
      <c r="C50" s="109"/>
      <c r="D50" s="34">
        <v>0.2</v>
      </c>
      <c r="E50" s="37"/>
      <c r="F50" s="35"/>
      <c r="G50" s="35"/>
      <c r="H50" s="35"/>
      <c r="I50" s="35"/>
      <c r="J50" s="29"/>
    </row>
    <row r="52" spans="3:10" ht="79" customHeight="1" x14ac:dyDescent="0.2">
      <c r="D52" s="112" t="s">
        <v>66</v>
      </c>
      <c r="E52" s="112"/>
      <c r="F52" s="112"/>
      <c r="G52" s="112"/>
      <c r="H52" s="112"/>
      <c r="I52" s="112"/>
      <c r="J52" s="112"/>
    </row>
    <row r="53" spans="3:10" x14ac:dyDescent="0.2">
      <c r="D53" s="21" t="s">
        <v>59</v>
      </c>
      <c r="E53" s="66">
        <f>LoiNhuanHT</f>
        <v>30000000</v>
      </c>
      <c r="F53" s="67"/>
      <c r="H53" s="67"/>
    </row>
    <row r="54" spans="3:10" x14ac:dyDescent="0.2">
      <c r="D54" s="21" t="s">
        <v>67</v>
      </c>
      <c r="E54" s="22">
        <f>50000000+80000000</f>
        <v>130000000</v>
      </c>
      <c r="F54" s="68"/>
      <c r="G54" s="69"/>
      <c r="H54" s="68"/>
      <c r="I54" s="69"/>
      <c r="J54" s="67"/>
    </row>
    <row r="55" spans="3:10" x14ac:dyDescent="0.2">
      <c r="D55" s="66"/>
      <c r="E55" s="67" t="s">
        <v>63</v>
      </c>
      <c r="G55" s="67" t="s">
        <v>0</v>
      </c>
      <c r="I55" s="69"/>
      <c r="J55" s="67"/>
    </row>
    <row r="56" spans="3:10" x14ac:dyDescent="0.2">
      <c r="D56" s="67" t="s">
        <v>60</v>
      </c>
      <c r="E56" s="68">
        <v>0.15</v>
      </c>
      <c r="F56" s="69">
        <f>ChiPhiBD*(1-E56)</f>
        <v>102000</v>
      </c>
      <c r="G56" s="68">
        <v>0.3</v>
      </c>
      <c r="H56" s="69">
        <f>DoanhSo*(1+G56)</f>
        <v>1300</v>
      </c>
      <c r="I56" s="69"/>
    </row>
    <row r="57" spans="3:10" x14ac:dyDescent="0.2">
      <c r="D57" s="67" t="s">
        <v>61</v>
      </c>
      <c r="E57" s="68">
        <v>0.1</v>
      </c>
      <c r="F57" s="69">
        <f>ChiPhiBD*(1-E57)</f>
        <v>108000</v>
      </c>
      <c r="G57" s="68">
        <v>0.2</v>
      </c>
      <c r="H57" s="69">
        <f>DoanhSo*(1+G57)</f>
        <v>1200</v>
      </c>
      <c r="I57" s="67"/>
    </row>
    <row r="58" spans="3:10" x14ac:dyDescent="0.2">
      <c r="D58" s="67" t="s">
        <v>62</v>
      </c>
      <c r="E58" s="68">
        <v>0.2</v>
      </c>
      <c r="F58" s="69">
        <f>ChiPhiBD*(1-E58)</f>
        <v>96000</v>
      </c>
      <c r="G58" s="68">
        <v>0.4</v>
      </c>
      <c r="H58" s="69">
        <f>DoanhSo*(1+G58)</f>
        <v>1400</v>
      </c>
    </row>
  </sheetData>
  <scenarios current="0" sqref="E53">
    <scenario name="Xau_nhat" locked="1" count="3" user="Microsoft Office User" comment="Created by Microsoft Office User on 2024-09-25_x000a_Modified by Microsoft Office User on 2024-09-25_x000a_Modified by Microsoft Office User on 2025-09-27">
      <inputCells r="B1" val="1200" numFmtId="3"/>
      <inputCells r="B3" val="250000000" numFmtId="4"/>
      <inputCells r="B4" val="108000" numFmtId="4"/>
    </scenario>
    <scenario name="Tot_nhat" locked="1" count="3" user="Microsoft Office User" comment="Created by Microsoft Office User on 2024-09-25_x000a_Modified by Microsoft Office User on 2024-09-25">
      <inputCells r="B1" val="1400" numFmtId="3"/>
      <inputCells r="B3" val="250000000" numFmtId="4"/>
      <inputCells r="B4" val="96000" numFmtId="4"/>
    </scenario>
    <scenario name="Trung_binh" locked="1" count="3" user="Microsoft Office User" comment="Created by Microsoft Office User on 2025-09-27">
      <inputCells r="B1" val="1000" numFmtId="3"/>
      <inputCells r="B3" val="50000000" numFmtId="4"/>
      <inputCells r="B4" val="120000" numFmtId="4"/>
    </scenario>
    <scenario name="Thuong_xuyen" locked="1" count="3" user="Microsoft Office User" comment="Created by Microsoft Office User on 2025-09-27">
      <inputCells r="B1" val="1000" numFmtId="3"/>
      <inputCells r="B3" val="50000000" numFmtId="4"/>
      <inputCells r="B4" val="120000" numFmtId="4"/>
    </scenario>
  </scenarios>
  <mergeCells count="11">
    <mergeCell ref="E35:J35"/>
    <mergeCell ref="C37:C40"/>
    <mergeCell ref="E45:J45"/>
    <mergeCell ref="C47:C50"/>
    <mergeCell ref="D52:J52"/>
    <mergeCell ref="C27:C30"/>
    <mergeCell ref="E25:J25"/>
    <mergeCell ref="D1:G1"/>
    <mergeCell ref="D12:G12"/>
    <mergeCell ref="C17:C20"/>
    <mergeCell ref="E15:I15"/>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9D08DB-E960-5245-807A-57D0BB87C4AF}">
  <dimension ref="A1:Y101"/>
  <sheetViews>
    <sheetView zoomScale="140" zoomScaleNormal="140" workbookViewId="0">
      <selection activeCell="Y5" sqref="Y5"/>
    </sheetView>
  </sheetViews>
  <sheetFormatPr baseColWidth="10" defaultRowHeight="16" x14ac:dyDescent="0.2"/>
  <cols>
    <col min="2" max="2" width="9.83203125" bestFit="1" customWidth="1"/>
    <col min="3" max="3" width="11" bestFit="1" customWidth="1"/>
    <col min="4" max="4" width="13.5" bestFit="1" customWidth="1"/>
    <col min="5" max="5" width="9.33203125" bestFit="1" customWidth="1"/>
    <col min="6" max="6" width="24.83203125" bestFit="1" customWidth="1"/>
    <col min="7" max="7" width="9.1640625" bestFit="1" customWidth="1"/>
    <col min="10" max="10" width="24.83203125" bestFit="1" customWidth="1"/>
    <col min="11" max="11" width="11.83203125" bestFit="1" customWidth="1"/>
    <col min="14" max="14" width="13.1640625" customWidth="1"/>
    <col min="17" max="17" width="32.83203125" bestFit="1" customWidth="1"/>
    <col min="19" max="19" width="14.1640625" bestFit="1" customWidth="1"/>
    <col min="22" max="22" width="13.5" bestFit="1" customWidth="1"/>
    <col min="24" max="25" width="13.5" bestFit="1" customWidth="1"/>
  </cols>
  <sheetData>
    <row r="1" spans="1:25" ht="17" thickBot="1" x14ac:dyDescent="0.25">
      <c r="A1" s="77" t="s">
        <v>83</v>
      </c>
      <c r="B1" s="77" t="s">
        <v>84</v>
      </c>
      <c r="C1" s="77" t="s">
        <v>85</v>
      </c>
      <c r="D1" s="77" t="s">
        <v>86</v>
      </c>
      <c r="E1" s="77" t="s">
        <v>87</v>
      </c>
      <c r="F1" s="77" t="s">
        <v>88</v>
      </c>
      <c r="G1" s="77" t="s">
        <v>89</v>
      </c>
      <c r="K1" s="90" t="s">
        <v>332</v>
      </c>
      <c r="L1" s="92" t="s">
        <v>333</v>
      </c>
      <c r="M1" s="95" t="s">
        <v>303</v>
      </c>
      <c r="N1" s="105" t="s">
        <v>334</v>
      </c>
      <c r="O1" s="105"/>
      <c r="Q1" s="2" t="s">
        <v>335</v>
      </c>
    </row>
    <row r="2" spans="1:25" x14ac:dyDescent="0.2">
      <c r="A2" t="s">
        <v>90</v>
      </c>
      <c r="B2" t="s">
        <v>91</v>
      </c>
      <c r="C2">
        <v>2.67</v>
      </c>
      <c r="D2">
        <v>214</v>
      </c>
      <c r="E2">
        <v>1914</v>
      </c>
      <c r="F2">
        <v>12.05</v>
      </c>
      <c r="G2">
        <v>32706</v>
      </c>
      <c r="J2" s="94" t="s">
        <v>85</v>
      </c>
      <c r="K2" s="91">
        <f>CORREL(C2:C101,G2:G101)</f>
        <v>0.81622702183371354</v>
      </c>
      <c r="L2" s="92">
        <f>SLOPE(G2:G101,C2:C101)</f>
        <v>12837.174089777449</v>
      </c>
      <c r="M2" s="95">
        <f>INTERCEPT(G2:G101,C2:C101)</f>
        <v>1419.3525265599164</v>
      </c>
      <c r="N2" s="90" cm="1">
        <f t="array" ref="N2:O2">LINEST(G2:G101,C2:C101,TRUE,FALSE)</f>
        <v>12837.174089777458</v>
      </c>
      <c r="O2" s="90">
        <v>1419.3525265598983</v>
      </c>
      <c r="Q2" s="92" cm="1">
        <f t="array" ref="Q2:U6">LINEST(G2:G101,C2:F101,TRUE,TRUE)</f>
        <v>-915.1554023653041</v>
      </c>
      <c r="R2" s="92">
        <v>-2.3730206721784373</v>
      </c>
      <c r="S2" s="92">
        <v>116.6285208296387</v>
      </c>
      <c r="T2" s="92">
        <v>5600.9974765841007</v>
      </c>
      <c r="U2" s="95">
        <v>8360.8823894957386</v>
      </c>
      <c r="V2" s="79" t="s">
        <v>309</v>
      </c>
    </row>
    <row r="3" spans="1:25" x14ac:dyDescent="0.2">
      <c r="A3" t="s">
        <v>92</v>
      </c>
      <c r="B3" t="s">
        <v>93</v>
      </c>
      <c r="C3">
        <v>1.38</v>
      </c>
      <c r="D3">
        <v>115</v>
      </c>
      <c r="E3">
        <v>1465</v>
      </c>
      <c r="F3">
        <v>9.2899999999999991</v>
      </c>
      <c r="G3">
        <v>16104</v>
      </c>
      <c r="J3" s="94" t="s">
        <v>86</v>
      </c>
      <c r="K3" s="91">
        <f>CORREL(D2:D101,G2:G101)</f>
        <v>0.90777627600166677</v>
      </c>
      <c r="L3" s="92">
        <f>SLOPE(G2:G101,D2:D101)</f>
        <v>145.16001722904434</v>
      </c>
      <c r="M3" s="95">
        <f>INTERCEPT(G2:G101,D2:D101)</f>
        <v>588.15934425669548</v>
      </c>
      <c r="N3" s="90" cm="1">
        <f t="array" ref="N3:O3">LINEST(G2:G101,D2:D101,TRUE,FALSE)</f>
        <v>145.16001722904434</v>
      </c>
      <c r="O3" s="90">
        <v>588.15934425669548</v>
      </c>
      <c r="Q3" s="98">
        <v>460.56104444979695</v>
      </c>
      <c r="R3" s="98">
        <v>2.7387408795318917</v>
      </c>
      <c r="S3" s="98">
        <v>11.582426601083398</v>
      </c>
      <c r="T3" s="98">
        <v>1554.0599000875241</v>
      </c>
      <c r="U3" s="98">
        <v>3974.6435302016466</v>
      </c>
    </row>
    <row r="4" spans="1:25" x14ac:dyDescent="0.2">
      <c r="A4" t="s">
        <v>94</v>
      </c>
      <c r="B4" t="s">
        <v>95</v>
      </c>
      <c r="C4">
        <v>2.06</v>
      </c>
      <c r="D4">
        <v>218</v>
      </c>
      <c r="E4">
        <v>1476</v>
      </c>
      <c r="F4">
        <v>11.02</v>
      </c>
      <c r="G4">
        <v>30120</v>
      </c>
      <c r="J4" s="94" t="s">
        <v>87</v>
      </c>
      <c r="K4" s="91">
        <f>CORREL(E2:E101,G2:G101)</f>
        <v>0.57377681104757017</v>
      </c>
      <c r="L4" s="92">
        <f>SLOPE(G2:G101,E2:E101)</f>
        <v>22.93504104113531</v>
      </c>
      <c r="M4" s="95">
        <f>INTERCEPT(G2:G101,E2:E101)</f>
        <v>-10731.350476168362</v>
      </c>
      <c r="N4" s="90" cm="1">
        <f t="array" ref="N4:O4">LINEST(G2:G101,E2:E101,TRUE,FALSE)</f>
        <v>22.935041041135289</v>
      </c>
      <c r="O4" s="90">
        <v>-10731.350476168325</v>
      </c>
      <c r="Q4" s="101">
        <v>0.84692166585620798</v>
      </c>
      <c r="R4" s="101">
        <v>2882.1896387446463</v>
      </c>
      <c r="S4" s="93" t="e">
        <v>#N/A</v>
      </c>
      <c r="T4" s="93" t="e">
        <v>#N/A</v>
      </c>
      <c r="U4" s="93" t="e">
        <v>#N/A</v>
      </c>
    </row>
    <row r="5" spans="1:25" x14ac:dyDescent="0.2">
      <c r="A5" t="s">
        <v>96</v>
      </c>
      <c r="B5" t="s">
        <v>97</v>
      </c>
      <c r="C5">
        <v>1.29</v>
      </c>
      <c r="D5">
        <v>145</v>
      </c>
      <c r="E5">
        <v>1317</v>
      </c>
      <c r="F5">
        <v>9.24</v>
      </c>
      <c r="G5">
        <v>28301</v>
      </c>
      <c r="J5" s="94" t="s">
        <v>88</v>
      </c>
      <c r="K5" s="91">
        <f>CORREL(F2:F101,G2:G101)</f>
        <v>0.55985556043209284</v>
      </c>
      <c r="L5" s="92">
        <f>SLOPE(G5:G104,F5:F104)</f>
        <v>3908.9079836584187</v>
      </c>
      <c r="M5" s="95">
        <f>INTERCEPT(G2:G101,F2:F101)</f>
        <v>-16228.858416753454</v>
      </c>
      <c r="N5" s="90" cm="1">
        <f t="array" ref="N5:O5">LINEST(G2:G101,F2:F101,TRUE,FALSE)</f>
        <v>3995.9253078677621</v>
      </c>
      <c r="O5" s="90">
        <v>-16228.858416753461</v>
      </c>
      <c r="Q5" s="102">
        <v>131.39932359853594</v>
      </c>
      <c r="R5" s="104">
        <v>95</v>
      </c>
      <c r="S5" s="93" t="e">
        <v>#N/A</v>
      </c>
      <c r="T5" s="93" t="e">
        <v>#N/A</v>
      </c>
      <c r="U5" s="93" t="e">
        <v>#N/A</v>
      </c>
    </row>
    <row r="6" spans="1:25" x14ac:dyDescent="0.2">
      <c r="A6" t="s">
        <v>98</v>
      </c>
      <c r="B6" t="s">
        <v>99</v>
      </c>
      <c r="C6">
        <v>1.1599999999999999</v>
      </c>
      <c r="D6">
        <v>76</v>
      </c>
      <c r="E6">
        <v>1393</v>
      </c>
      <c r="F6">
        <v>9.44</v>
      </c>
      <c r="G6">
        <v>12989</v>
      </c>
      <c r="Q6" s="102">
        <v>4366145719.4397345</v>
      </c>
      <c r="R6" s="104">
        <v>789166625.8002646</v>
      </c>
      <c r="S6" s="93" t="e">
        <v>#N/A</v>
      </c>
      <c r="T6" s="93" t="e">
        <v>#N/A</v>
      </c>
      <c r="U6" s="93" t="e">
        <v>#N/A</v>
      </c>
    </row>
    <row r="7" spans="1:25" x14ac:dyDescent="0.2">
      <c r="A7" t="s">
        <v>100</v>
      </c>
      <c r="B7" t="s">
        <v>101</v>
      </c>
      <c r="C7">
        <v>1.44</v>
      </c>
      <c r="D7">
        <v>128</v>
      </c>
      <c r="E7">
        <v>1419</v>
      </c>
      <c r="F7">
        <v>9.7200000000000006</v>
      </c>
      <c r="G7">
        <v>17140</v>
      </c>
    </row>
    <row r="8" spans="1:25" x14ac:dyDescent="0.2">
      <c r="A8" t="s">
        <v>102</v>
      </c>
      <c r="B8" t="s">
        <v>103</v>
      </c>
      <c r="C8">
        <v>2.06</v>
      </c>
      <c r="D8">
        <v>153</v>
      </c>
      <c r="E8">
        <v>1649</v>
      </c>
      <c r="F8">
        <v>10.8</v>
      </c>
      <c r="G8">
        <v>26576</v>
      </c>
    </row>
    <row r="9" spans="1:25" x14ac:dyDescent="0.2">
      <c r="A9" t="s">
        <v>104</v>
      </c>
      <c r="B9" t="s">
        <v>105</v>
      </c>
      <c r="C9">
        <v>2.2999999999999998</v>
      </c>
      <c r="D9">
        <v>241</v>
      </c>
      <c r="E9">
        <v>1576</v>
      </c>
      <c r="F9">
        <v>10.85</v>
      </c>
      <c r="G9">
        <v>36523</v>
      </c>
    </row>
    <row r="10" spans="1:25" x14ac:dyDescent="0.2">
      <c r="A10" t="s">
        <v>106</v>
      </c>
      <c r="B10" t="s">
        <v>107</v>
      </c>
      <c r="C10">
        <v>2.36</v>
      </c>
      <c r="D10">
        <v>212</v>
      </c>
      <c r="E10">
        <v>1720</v>
      </c>
      <c r="F10">
        <v>11.52</v>
      </c>
      <c r="G10">
        <v>30249</v>
      </c>
      <c r="Q10" s="2" t="s">
        <v>336</v>
      </c>
    </row>
    <row r="11" spans="1:25" ht="17" thickBot="1" x14ac:dyDescent="0.25">
      <c r="A11" t="s">
        <v>108</v>
      </c>
      <c r="B11" t="s">
        <v>109</v>
      </c>
      <c r="C11">
        <v>1.94</v>
      </c>
      <c r="D11">
        <v>169</v>
      </c>
      <c r="E11">
        <v>1740</v>
      </c>
      <c r="F11">
        <v>12.14</v>
      </c>
      <c r="G11">
        <v>23030</v>
      </c>
    </row>
    <row r="12" spans="1:25" x14ac:dyDescent="0.2">
      <c r="A12" t="s">
        <v>110</v>
      </c>
      <c r="B12" t="s">
        <v>111</v>
      </c>
      <c r="C12">
        <v>1.64</v>
      </c>
      <c r="D12">
        <v>117</v>
      </c>
      <c r="E12">
        <v>1461</v>
      </c>
      <c r="F12">
        <v>8.81</v>
      </c>
      <c r="G12">
        <v>17723</v>
      </c>
      <c r="Q12" s="79"/>
      <c r="R12" s="79" t="s">
        <v>309</v>
      </c>
      <c r="S12" s="79" t="s">
        <v>297</v>
      </c>
      <c r="T12" s="79" t="s">
        <v>310</v>
      </c>
      <c r="U12" s="79" t="s">
        <v>311</v>
      </c>
      <c r="V12" s="79" t="s">
        <v>312</v>
      </c>
      <c r="W12" s="79" t="s">
        <v>313</v>
      </c>
      <c r="X12" s="79" t="s">
        <v>314</v>
      </c>
      <c r="Y12" s="79" t="s">
        <v>315</v>
      </c>
    </row>
    <row r="13" spans="1:25" x14ac:dyDescent="0.2">
      <c r="A13" t="s">
        <v>112</v>
      </c>
      <c r="B13" t="s">
        <v>113</v>
      </c>
      <c r="C13">
        <v>2.16</v>
      </c>
      <c r="D13">
        <v>234</v>
      </c>
      <c r="E13">
        <v>1813</v>
      </c>
      <c r="F13">
        <v>11.18</v>
      </c>
      <c r="G13">
        <v>35833</v>
      </c>
      <c r="Q13" t="s">
        <v>303</v>
      </c>
      <c r="R13" s="96">
        <v>8360.8823894957386</v>
      </c>
      <c r="S13" s="99">
        <v>3974.6435302016466</v>
      </c>
      <c r="T13">
        <v>2.103555281364204</v>
      </c>
      <c r="U13">
        <v>3.805936211703078E-2</v>
      </c>
      <c r="V13">
        <v>470.21733258628683</v>
      </c>
      <c r="W13">
        <v>16251.547446405191</v>
      </c>
      <c r="X13">
        <v>470.21733258628683</v>
      </c>
      <c r="Y13">
        <v>16251.547446405191</v>
      </c>
    </row>
    <row r="14" spans="1:25" x14ac:dyDescent="0.2">
      <c r="A14" t="s">
        <v>114</v>
      </c>
      <c r="B14" t="s">
        <v>115</v>
      </c>
      <c r="C14">
        <v>1.43</v>
      </c>
      <c r="D14">
        <v>169</v>
      </c>
      <c r="E14">
        <v>1531</v>
      </c>
      <c r="F14">
        <v>9.19</v>
      </c>
      <c r="G14">
        <v>25555</v>
      </c>
      <c r="Q14" t="s">
        <v>85</v>
      </c>
      <c r="R14" s="96">
        <v>5600.9974765841007</v>
      </c>
      <c r="S14" s="99">
        <v>1554.0599000875241</v>
      </c>
      <c r="T14">
        <v>3.6041065574555105</v>
      </c>
      <c r="U14">
        <v>5.0104444690032791E-4</v>
      </c>
      <c r="V14">
        <v>2515.7985004276907</v>
      </c>
      <c r="W14">
        <v>8686.1964527405107</v>
      </c>
      <c r="X14">
        <v>2515.7985004276907</v>
      </c>
      <c r="Y14">
        <v>8686.1964527405107</v>
      </c>
    </row>
    <row r="15" spans="1:25" x14ac:dyDescent="0.2">
      <c r="A15" t="s">
        <v>116</v>
      </c>
      <c r="B15" t="s">
        <v>117</v>
      </c>
      <c r="C15">
        <v>1.72</v>
      </c>
      <c r="D15">
        <v>162</v>
      </c>
      <c r="E15">
        <v>1532</v>
      </c>
      <c r="F15">
        <v>9.48</v>
      </c>
      <c r="G15">
        <v>29229</v>
      </c>
      <c r="Q15" t="s">
        <v>86</v>
      </c>
      <c r="R15" s="96">
        <v>116.6285208296387</v>
      </c>
      <c r="S15" s="99">
        <v>11.582426601083398</v>
      </c>
      <c r="T15">
        <v>10.069437506189722</v>
      </c>
      <c r="U15">
        <v>1.1741389415194606E-16</v>
      </c>
      <c r="V15">
        <v>93.634496796809117</v>
      </c>
      <c r="W15">
        <v>139.62254486246829</v>
      </c>
      <c r="X15">
        <v>93.634496796809117</v>
      </c>
      <c r="Y15">
        <v>139.62254486246829</v>
      </c>
    </row>
    <row r="16" spans="1:25" x14ac:dyDescent="0.2">
      <c r="A16" t="s">
        <v>118</v>
      </c>
      <c r="B16" t="s">
        <v>119</v>
      </c>
      <c r="C16">
        <v>1.76</v>
      </c>
      <c r="D16">
        <v>138</v>
      </c>
      <c r="E16">
        <v>1519</v>
      </c>
      <c r="F16">
        <v>10.95</v>
      </c>
      <c r="G16">
        <v>17786</v>
      </c>
      <c r="Q16" t="s">
        <v>87</v>
      </c>
      <c r="R16" s="96">
        <v>-2.3730206721784373</v>
      </c>
      <c r="S16" s="99">
        <v>2.7387408795318917</v>
      </c>
      <c r="T16">
        <v>-0.86646410761723336</v>
      </c>
      <c r="U16">
        <v>0.38841882228155444</v>
      </c>
      <c r="V16">
        <v>-7.8101087516106542</v>
      </c>
      <c r="W16">
        <v>3.0640674072537792</v>
      </c>
      <c r="X16">
        <v>-7.8101087516106542</v>
      </c>
      <c r="Y16">
        <v>3.0640674072537792</v>
      </c>
    </row>
    <row r="17" spans="1:25" ht="17" thickBot="1" x14ac:dyDescent="0.25">
      <c r="A17" t="s">
        <v>120</v>
      </c>
      <c r="B17" t="s">
        <v>121</v>
      </c>
      <c r="C17">
        <v>1.79</v>
      </c>
      <c r="D17">
        <v>120</v>
      </c>
      <c r="E17">
        <v>1691</v>
      </c>
      <c r="F17">
        <v>10.23</v>
      </c>
      <c r="G17">
        <v>21531</v>
      </c>
      <c r="Q17" s="75" t="s">
        <v>88</v>
      </c>
      <c r="R17" s="97">
        <v>-915.1554023653041</v>
      </c>
      <c r="S17" s="100">
        <v>460.56104444979695</v>
      </c>
      <c r="T17" s="75">
        <v>-1.9870447433490215</v>
      </c>
      <c r="U17" s="75">
        <v>4.979749741165676E-2</v>
      </c>
      <c r="V17" s="75">
        <v>-1829.4846780348034</v>
      </c>
      <c r="W17" s="75">
        <v>-0.82612669580475995</v>
      </c>
      <c r="X17" s="75">
        <v>-1829.4846780348034</v>
      </c>
      <c r="Y17" s="75">
        <v>-0.82612669580475995</v>
      </c>
    </row>
    <row r="18" spans="1:25" x14ac:dyDescent="0.2">
      <c r="A18" t="s">
        <v>122</v>
      </c>
      <c r="B18" t="s">
        <v>123</v>
      </c>
      <c r="C18">
        <v>1.95</v>
      </c>
      <c r="D18">
        <v>211</v>
      </c>
      <c r="E18">
        <v>1524</v>
      </c>
      <c r="F18">
        <v>9.64</v>
      </c>
      <c r="G18">
        <v>30231</v>
      </c>
    </row>
    <row r="19" spans="1:25" ht="17" thickBot="1" x14ac:dyDescent="0.25">
      <c r="A19" t="s">
        <v>124</v>
      </c>
      <c r="B19" t="s">
        <v>125</v>
      </c>
      <c r="C19">
        <v>1.77</v>
      </c>
      <c r="D19">
        <v>181</v>
      </c>
      <c r="E19">
        <v>1341</v>
      </c>
      <c r="F19">
        <v>10.02</v>
      </c>
      <c r="G19">
        <v>26898</v>
      </c>
    </row>
    <row r="20" spans="1:25" ht="17" thickBot="1" x14ac:dyDescent="0.25">
      <c r="A20" t="s">
        <v>126</v>
      </c>
      <c r="B20" t="s">
        <v>127</v>
      </c>
      <c r="C20">
        <v>2.41</v>
      </c>
      <c r="D20">
        <v>250</v>
      </c>
      <c r="E20">
        <v>1834</v>
      </c>
      <c r="F20">
        <v>11.36</v>
      </c>
      <c r="G20">
        <v>36646</v>
      </c>
      <c r="Q20" s="80" t="s">
        <v>293</v>
      </c>
      <c r="R20" s="80"/>
      <c r="T20" t="s">
        <v>299</v>
      </c>
    </row>
    <row r="21" spans="1:25" x14ac:dyDescent="0.2">
      <c r="A21" t="s">
        <v>128</v>
      </c>
      <c r="B21" t="s">
        <v>129</v>
      </c>
      <c r="C21">
        <v>1.71</v>
      </c>
      <c r="D21">
        <v>145</v>
      </c>
      <c r="E21">
        <v>1463</v>
      </c>
      <c r="F21">
        <v>9.41</v>
      </c>
      <c r="G21">
        <v>19584</v>
      </c>
      <c r="Q21" t="s">
        <v>294</v>
      </c>
      <c r="R21">
        <v>0.92028347038084302</v>
      </c>
      <c r="T21" s="79"/>
      <c r="U21" s="79" t="s">
        <v>304</v>
      </c>
      <c r="V21" s="79" t="s">
        <v>305</v>
      </c>
      <c r="W21" s="79" t="s">
        <v>306</v>
      </c>
      <c r="X21" s="79" t="s">
        <v>307</v>
      </c>
      <c r="Y21" s="79" t="s">
        <v>308</v>
      </c>
    </row>
    <row r="22" spans="1:25" x14ac:dyDescent="0.2">
      <c r="A22" t="s">
        <v>130</v>
      </c>
      <c r="B22" t="s">
        <v>131</v>
      </c>
      <c r="C22">
        <v>2.4700000000000002</v>
      </c>
      <c r="D22">
        <v>216</v>
      </c>
      <c r="E22">
        <v>1690</v>
      </c>
      <c r="F22">
        <v>10.68</v>
      </c>
      <c r="G22">
        <v>35115</v>
      </c>
      <c r="Q22" t="s">
        <v>295</v>
      </c>
      <c r="R22" s="88">
        <v>0.84692166585620798</v>
      </c>
      <c r="T22" t="s">
        <v>300</v>
      </c>
      <c r="U22">
        <v>4</v>
      </c>
      <c r="V22" s="86">
        <v>4366145719.4397345</v>
      </c>
      <c r="W22">
        <v>1091536429.8599336</v>
      </c>
      <c r="X22" s="86">
        <v>131.39932359853594</v>
      </c>
      <c r="Y22">
        <v>7.9177635311547976E-38</v>
      </c>
    </row>
    <row r="23" spans="1:25" x14ac:dyDescent="0.2">
      <c r="A23" t="s">
        <v>132</v>
      </c>
      <c r="B23" t="s">
        <v>133</v>
      </c>
      <c r="C23">
        <v>1.95</v>
      </c>
      <c r="D23">
        <v>182</v>
      </c>
      <c r="E23">
        <v>1413</v>
      </c>
      <c r="F23">
        <v>9.68</v>
      </c>
      <c r="G23">
        <v>25915</v>
      </c>
      <c r="Q23" t="s">
        <v>296</v>
      </c>
      <c r="R23">
        <v>0.84047626231331152</v>
      </c>
      <c r="T23" t="s">
        <v>301</v>
      </c>
      <c r="U23" s="103">
        <v>95</v>
      </c>
      <c r="V23" s="103">
        <v>789166625.8002646</v>
      </c>
      <c r="W23">
        <v>8307017.1136869956</v>
      </c>
    </row>
    <row r="24" spans="1:25" ht="17" thickBot="1" x14ac:dyDescent="0.25">
      <c r="A24" t="s">
        <v>134</v>
      </c>
      <c r="B24" t="s">
        <v>135</v>
      </c>
      <c r="C24">
        <v>2.33</v>
      </c>
      <c r="D24">
        <v>221</v>
      </c>
      <c r="E24">
        <v>1705</v>
      </c>
      <c r="F24">
        <v>10.220000000000001</v>
      </c>
      <c r="G24">
        <v>35213</v>
      </c>
      <c r="Q24" t="s">
        <v>297</v>
      </c>
      <c r="R24" s="88">
        <v>2882.1896387446463</v>
      </c>
      <c r="T24" s="75" t="s">
        <v>302</v>
      </c>
      <c r="U24" s="75">
        <v>99</v>
      </c>
      <c r="V24" s="75">
        <v>5155312345.2399988</v>
      </c>
      <c r="W24" s="75"/>
      <c r="X24" s="75"/>
      <c r="Y24" s="75"/>
    </row>
    <row r="25" spans="1:25" ht="17" thickBot="1" x14ac:dyDescent="0.25">
      <c r="A25" t="s">
        <v>136</v>
      </c>
      <c r="B25" t="s">
        <v>137</v>
      </c>
      <c r="C25">
        <v>1.47</v>
      </c>
      <c r="D25">
        <v>161</v>
      </c>
      <c r="E25">
        <v>1309</v>
      </c>
      <c r="F25">
        <v>9.1199999999999992</v>
      </c>
      <c r="G25">
        <v>25668</v>
      </c>
      <c r="Q25" s="75" t="s">
        <v>298</v>
      </c>
      <c r="R25" s="75">
        <v>100</v>
      </c>
    </row>
    <row r="26" spans="1:25" x14ac:dyDescent="0.2">
      <c r="A26" t="s">
        <v>138</v>
      </c>
      <c r="B26" t="s">
        <v>139</v>
      </c>
      <c r="C26">
        <v>1.63</v>
      </c>
      <c r="D26">
        <v>155</v>
      </c>
      <c r="E26">
        <v>1644</v>
      </c>
      <c r="F26">
        <v>10.99</v>
      </c>
      <c r="G26">
        <v>22735</v>
      </c>
    </row>
    <row r="27" spans="1:25" x14ac:dyDescent="0.2">
      <c r="A27" t="s">
        <v>140</v>
      </c>
      <c r="B27" t="s">
        <v>141</v>
      </c>
      <c r="C27">
        <v>2.44</v>
      </c>
      <c r="D27">
        <v>183</v>
      </c>
      <c r="E27">
        <v>2003</v>
      </c>
      <c r="F27">
        <v>11.4</v>
      </c>
      <c r="G27">
        <v>31001</v>
      </c>
    </row>
    <row r="28" spans="1:25" x14ac:dyDescent="0.2">
      <c r="A28" t="s">
        <v>142</v>
      </c>
      <c r="B28" t="s">
        <v>143</v>
      </c>
      <c r="C28">
        <v>1.87</v>
      </c>
      <c r="D28">
        <v>152</v>
      </c>
      <c r="E28">
        <v>1558</v>
      </c>
      <c r="F28">
        <v>10.73</v>
      </c>
      <c r="G28">
        <v>23929</v>
      </c>
    </row>
    <row r="29" spans="1:25" x14ac:dyDescent="0.2">
      <c r="A29" t="s">
        <v>144</v>
      </c>
      <c r="B29" t="s">
        <v>145</v>
      </c>
      <c r="C29">
        <v>1.36</v>
      </c>
      <c r="D29">
        <v>107</v>
      </c>
      <c r="E29">
        <v>1353</v>
      </c>
      <c r="F29">
        <v>9.8800000000000008</v>
      </c>
      <c r="G29">
        <v>19281</v>
      </c>
    </row>
    <row r="30" spans="1:25" x14ac:dyDescent="0.2">
      <c r="A30" t="s">
        <v>146</v>
      </c>
      <c r="B30" t="s">
        <v>147</v>
      </c>
      <c r="C30">
        <v>1.87</v>
      </c>
      <c r="D30">
        <v>164</v>
      </c>
      <c r="E30">
        <v>1541</v>
      </c>
      <c r="F30">
        <v>10.17</v>
      </c>
      <c r="G30">
        <v>23898</v>
      </c>
    </row>
    <row r="31" spans="1:25" x14ac:dyDescent="0.2">
      <c r="A31" t="s">
        <v>148</v>
      </c>
      <c r="B31" t="s">
        <v>149</v>
      </c>
      <c r="C31">
        <v>2.1800000000000002</v>
      </c>
      <c r="D31">
        <v>234</v>
      </c>
      <c r="E31">
        <v>1779</v>
      </c>
      <c r="F31">
        <v>9.58</v>
      </c>
      <c r="G31">
        <v>36861</v>
      </c>
    </row>
    <row r="32" spans="1:25" x14ac:dyDescent="0.2">
      <c r="A32" t="s">
        <v>150</v>
      </c>
      <c r="B32" t="s">
        <v>151</v>
      </c>
      <c r="C32">
        <v>2.16</v>
      </c>
      <c r="D32">
        <v>194</v>
      </c>
      <c r="E32">
        <v>1810</v>
      </c>
      <c r="F32">
        <v>12.12</v>
      </c>
      <c r="G32">
        <v>27150</v>
      </c>
    </row>
    <row r="33" spans="1:7" x14ac:dyDescent="0.2">
      <c r="A33" t="s">
        <v>152</v>
      </c>
      <c r="B33" t="s">
        <v>153</v>
      </c>
      <c r="C33">
        <v>1.99</v>
      </c>
      <c r="D33">
        <v>191</v>
      </c>
      <c r="E33">
        <v>1935</v>
      </c>
      <c r="F33">
        <v>11.8</v>
      </c>
      <c r="G33">
        <v>22672</v>
      </c>
    </row>
    <row r="34" spans="1:7" x14ac:dyDescent="0.2">
      <c r="A34" t="s">
        <v>154</v>
      </c>
      <c r="B34" t="s">
        <v>155</v>
      </c>
      <c r="C34">
        <v>1.78</v>
      </c>
      <c r="D34">
        <v>177</v>
      </c>
      <c r="E34">
        <v>1516</v>
      </c>
      <c r="F34">
        <v>10.54</v>
      </c>
      <c r="G34">
        <v>31794</v>
      </c>
    </row>
    <row r="35" spans="1:7" x14ac:dyDescent="0.2">
      <c r="A35" t="s">
        <v>156</v>
      </c>
      <c r="B35" t="s">
        <v>157</v>
      </c>
      <c r="C35">
        <v>2.6</v>
      </c>
      <c r="D35">
        <v>309</v>
      </c>
      <c r="E35">
        <v>1867</v>
      </c>
      <c r="F35">
        <v>12.46</v>
      </c>
      <c r="G35">
        <v>41331</v>
      </c>
    </row>
    <row r="36" spans="1:7" x14ac:dyDescent="0.2">
      <c r="A36" t="s">
        <v>158</v>
      </c>
      <c r="B36" t="s">
        <v>159</v>
      </c>
      <c r="C36">
        <v>2.3199999999999998</v>
      </c>
      <c r="D36">
        <v>184</v>
      </c>
      <c r="E36">
        <v>1763</v>
      </c>
      <c r="F36">
        <v>10.96</v>
      </c>
      <c r="G36">
        <v>24919</v>
      </c>
    </row>
    <row r="37" spans="1:7" x14ac:dyDescent="0.2">
      <c r="A37" t="s">
        <v>160</v>
      </c>
      <c r="B37" t="s">
        <v>161</v>
      </c>
      <c r="C37">
        <v>1.81</v>
      </c>
      <c r="D37">
        <v>133</v>
      </c>
      <c r="E37">
        <v>1781</v>
      </c>
      <c r="F37">
        <v>11.16</v>
      </c>
      <c r="G37">
        <v>20199</v>
      </c>
    </row>
    <row r="38" spans="1:7" x14ac:dyDescent="0.2">
      <c r="A38" t="s">
        <v>162</v>
      </c>
      <c r="B38" t="s">
        <v>163</v>
      </c>
      <c r="C38">
        <v>1.92</v>
      </c>
      <c r="D38">
        <v>201</v>
      </c>
      <c r="E38">
        <v>1584</v>
      </c>
      <c r="F38">
        <v>11.43</v>
      </c>
      <c r="G38">
        <v>29537</v>
      </c>
    </row>
    <row r="39" spans="1:7" x14ac:dyDescent="0.2">
      <c r="A39" t="s">
        <v>164</v>
      </c>
      <c r="B39" t="s">
        <v>165</v>
      </c>
      <c r="C39">
        <v>2.59</v>
      </c>
      <c r="D39">
        <v>232</v>
      </c>
      <c r="E39">
        <v>1772</v>
      </c>
      <c r="F39">
        <v>11.55</v>
      </c>
      <c r="G39">
        <v>37863</v>
      </c>
    </row>
    <row r="40" spans="1:7" x14ac:dyDescent="0.2">
      <c r="A40" t="s">
        <v>166</v>
      </c>
      <c r="B40" t="s">
        <v>167</v>
      </c>
      <c r="C40">
        <v>1.85</v>
      </c>
      <c r="D40">
        <v>187</v>
      </c>
      <c r="E40">
        <v>1591</v>
      </c>
      <c r="F40">
        <v>10.67</v>
      </c>
      <c r="G40">
        <v>28937</v>
      </c>
    </row>
    <row r="41" spans="1:7" x14ac:dyDescent="0.2">
      <c r="A41" t="s">
        <v>168</v>
      </c>
      <c r="B41" t="s">
        <v>169</v>
      </c>
      <c r="C41">
        <v>2.5499999999999998</v>
      </c>
      <c r="D41">
        <v>225</v>
      </c>
      <c r="E41">
        <v>1541</v>
      </c>
      <c r="F41">
        <v>11.13</v>
      </c>
      <c r="G41">
        <v>33643</v>
      </c>
    </row>
    <row r="42" spans="1:7" x14ac:dyDescent="0.2">
      <c r="A42" t="s">
        <v>170</v>
      </c>
      <c r="B42" t="s">
        <v>171</v>
      </c>
      <c r="C42">
        <v>2.56</v>
      </c>
      <c r="D42">
        <v>258</v>
      </c>
      <c r="E42">
        <v>1945</v>
      </c>
      <c r="F42">
        <v>11.83</v>
      </c>
      <c r="G42">
        <v>42365</v>
      </c>
    </row>
    <row r="43" spans="1:7" x14ac:dyDescent="0.2">
      <c r="A43" t="s">
        <v>172</v>
      </c>
      <c r="B43" t="s">
        <v>173</v>
      </c>
      <c r="C43">
        <v>2.33</v>
      </c>
      <c r="D43">
        <v>197</v>
      </c>
      <c r="E43">
        <v>1659</v>
      </c>
      <c r="F43">
        <v>11.79</v>
      </c>
      <c r="G43">
        <v>26497</v>
      </c>
    </row>
    <row r="44" spans="1:7" x14ac:dyDescent="0.2">
      <c r="A44" t="s">
        <v>174</v>
      </c>
      <c r="B44" t="s">
        <v>175</v>
      </c>
      <c r="C44">
        <v>1.68</v>
      </c>
      <c r="D44">
        <v>182</v>
      </c>
      <c r="E44">
        <v>1515</v>
      </c>
      <c r="F44">
        <v>10.27</v>
      </c>
      <c r="G44">
        <v>18095</v>
      </c>
    </row>
    <row r="45" spans="1:7" x14ac:dyDescent="0.2">
      <c r="A45" t="s">
        <v>176</v>
      </c>
      <c r="B45" t="s">
        <v>177</v>
      </c>
      <c r="C45">
        <v>1.84</v>
      </c>
      <c r="D45">
        <v>122</v>
      </c>
      <c r="E45">
        <v>1543</v>
      </c>
      <c r="F45">
        <v>10.85</v>
      </c>
      <c r="G45">
        <v>19793</v>
      </c>
    </row>
    <row r="46" spans="1:7" x14ac:dyDescent="0.2">
      <c r="A46" t="s">
        <v>178</v>
      </c>
      <c r="B46" t="s">
        <v>179</v>
      </c>
      <c r="C46">
        <v>1.88</v>
      </c>
      <c r="D46">
        <v>187</v>
      </c>
      <c r="E46">
        <v>1459</v>
      </c>
      <c r="F46">
        <v>10.82</v>
      </c>
      <c r="G46">
        <v>30495</v>
      </c>
    </row>
    <row r="47" spans="1:7" x14ac:dyDescent="0.2">
      <c r="A47" t="s">
        <v>180</v>
      </c>
      <c r="B47" t="s">
        <v>181</v>
      </c>
      <c r="C47">
        <v>1.69</v>
      </c>
      <c r="D47">
        <v>188</v>
      </c>
      <c r="E47">
        <v>1476</v>
      </c>
      <c r="F47">
        <v>9.64</v>
      </c>
      <c r="G47">
        <v>25852</v>
      </c>
    </row>
    <row r="48" spans="1:7" x14ac:dyDescent="0.2">
      <c r="A48" t="s">
        <v>182</v>
      </c>
      <c r="B48" t="s">
        <v>183</v>
      </c>
      <c r="C48">
        <v>3</v>
      </c>
      <c r="D48">
        <v>277</v>
      </c>
      <c r="E48">
        <v>1784</v>
      </c>
      <c r="F48">
        <v>12.67</v>
      </c>
      <c r="G48">
        <v>41715</v>
      </c>
    </row>
    <row r="49" spans="1:7" x14ac:dyDescent="0.2">
      <c r="A49" t="s">
        <v>184</v>
      </c>
      <c r="B49" t="s">
        <v>185</v>
      </c>
      <c r="C49">
        <v>1.28</v>
      </c>
      <c r="D49">
        <v>109</v>
      </c>
      <c r="E49">
        <v>1526</v>
      </c>
      <c r="F49">
        <v>10.220000000000001</v>
      </c>
      <c r="G49">
        <v>19262</v>
      </c>
    </row>
    <row r="50" spans="1:7" x14ac:dyDescent="0.2">
      <c r="A50" t="s">
        <v>186</v>
      </c>
      <c r="B50" t="s">
        <v>187</v>
      </c>
      <c r="C50">
        <v>1.1200000000000001</v>
      </c>
      <c r="D50">
        <v>86</v>
      </c>
      <c r="E50">
        <v>1303</v>
      </c>
      <c r="F50">
        <v>8.7200000000000006</v>
      </c>
      <c r="G50">
        <v>16190</v>
      </c>
    </row>
    <row r="51" spans="1:7" x14ac:dyDescent="0.2">
      <c r="A51" t="s">
        <v>188</v>
      </c>
      <c r="B51" t="s">
        <v>189</v>
      </c>
      <c r="C51">
        <v>1.89</v>
      </c>
      <c r="D51">
        <v>200</v>
      </c>
      <c r="E51">
        <v>1652</v>
      </c>
      <c r="F51">
        <v>10.01</v>
      </c>
      <c r="G51">
        <v>25895</v>
      </c>
    </row>
    <row r="52" spans="1:7" x14ac:dyDescent="0.2">
      <c r="A52" t="s">
        <v>190</v>
      </c>
      <c r="B52" t="s">
        <v>191</v>
      </c>
      <c r="C52">
        <v>2.2000000000000002</v>
      </c>
      <c r="D52">
        <v>233</v>
      </c>
      <c r="E52">
        <v>1700</v>
      </c>
      <c r="F52">
        <v>11.86</v>
      </c>
      <c r="G52">
        <v>39254</v>
      </c>
    </row>
    <row r="53" spans="1:7" x14ac:dyDescent="0.2">
      <c r="A53" t="s">
        <v>192</v>
      </c>
      <c r="B53" t="s">
        <v>193</v>
      </c>
      <c r="C53">
        <v>2.91</v>
      </c>
      <c r="D53">
        <v>241</v>
      </c>
      <c r="E53">
        <v>2166</v>
      </c>
      <c r="F53">
        <v>11.84</v>
      </c>
      <c r="G53">
        <v>31115</v>
      </c>
    </row>
    <row r="54" spans="1:7" x14ac:dyDescent="0.2">
      <c r="A54" t="s">
        <v>194</v>
      </c>
      <c r="B54" t="s">
        <v>195</v>
      </c>
      <c r="C54">
        <v>2.09</v>
      </c>
      <c r="D54">
        <v>156</v>
      </c>
      <c r="E54">
        <v>1476</v>
      </c>
      <c r="F54">
        <v>9.86</v>
      </c>
      <c r="G54">
        <v>24352</v>
      </c>
    </row>
    <row r="55" spans="1:7" x14ac:dyDescent="0.2">
      <c r="A55" t="s">
        <v>196</v>
      </c>
      <c r="B55" t="s">
        <v>197</v>
      </c>
      <c r="C55">
        <v>1.87</v>
      </c>
      <c r="D55">
        <v>151</v>
      </c>
      <c r="E55">
        <v>1704</v>
      </c>
      <c r="F55">
        <v>10.55</v>
      </c>
      <c r="G55">
        <v>24233</v>
      </c>
    </row>
    <row r="56" spans="1:7" x14ac:dyDescent="0.2">
      <c r="A56" t="s">
        <v>198</v>
      </c>
      <c r="B56" t="s">
        <v>199</v>
      </c>
      <c r="C56">
        <v>1.98</v>
      </c>
      <c r="D56">
        <v>168</v>
      </c>
      <c r="E56">
        <v>1517</v>
      </c>
      <c r="F56">
        <v>9.73</v>
      </c>
      <c r="G56">
        <v>26417</v>
      </c>
    </row>
    <row r="57" spans="1:7" x14ac:dyDescent="0.2">
      <c r="A57" t="s">
        <v>200</v>
      </c>
      <c r="B57" t="s">
        <v>201</v>
      </c>
      <c r="C57">
        <v>2.56</v>
      </c>
      <c r="D57">
        <v>212</v>
      </c>
      <c r="E57">
        <v>1947</v>
      </c>
      <c r="F57">
        <v>12.1</v>
      </c>
      <c r="G57">
        <v>33033</v>
      </c>
    </row>
    <row r="58" spans="1:7" x14ac:dyDescent="0.2">
      <c r="A58" t="s">
        <v>202</v>
      </c>
      <c r="B58" t="s">
        <v>203</v>
      </c>
      <c r="C58">
        <v>2.0299999999999998</v>
      </c>
      <c r="D58">
        <v>207</v>
      </c>
      <c r="E58">
        <v>1649</v>
      </c>
      <c r="F58">
        <v>10.15</v>
      </c>
      <c r="G58">
        <v>25175</v>
      </c>
    </row>
    <row r="59" spans="1:7" x14ac:dyDescent="0.2">
      <c r="A59" t="s">
        <v>204</v>
      </c>
      <c r="B59" t="s">
        <v>205</v>
      </c>
      <c r="C59">
        <v>1.71</v>
      </c>
      <c r="D59">
        <v>166</v>
      </c>
      <c r="E59">
        <v>1472</v>
      </c>
      <c r="F59">
        <v>10.26</v>
      </c>
      <c r="G59">
        <v>21842</v>
      </c>
    </row>
    <row r="60" spans="1:7" x14ac:dyDescent="0.2">
      <c r="A60" t="s">
        <v>206</v>
      </c>
      <c r="B60" t="s">
        <v>207</v>
      </c>
      <c r="C60">
        <v>2.29</v>
      </c>
      <c r="D60">
        <v>187</v>
      </c>
      <c r="E60">
        <v>1791</v>
      </c>
      <c r="F60">
        <v>10.75</v>
      </c>
      <c r="G60">
        <v>29545</v>
      </c>
    </row>
    <row r="61" spans="1:7" x14ac:dyDescent="0.2">
      <c r="A61" t="s">
        <v>208</v>
      </c>
      <c r="B61" t="s">
        <v>209</v>
      </c>
      <c r="C61">
        <v>1.88</v>
      </c>
      <c r="D61">
        <v>181</v>
      </c>
      <c r="E61">
        <v>1914</v>
      </c>
      <c r="F61">
        <v>10.87</v>
      </c>
      <c r="G61">
        <v>22636</v>
      </c>
    </row>
    <row r="62" spans="1:7" x14ac:dyDescent="0.2">
      <c r="A62" t="s">
        <v>210</v>
      </c>
      <c r="B62" t="s">
        <v>211</v>
      </c>
      <c r="C62">
        <v>2.16</v>
      </c>
      <c r="D62">
        <v>140</v>
      </c>
      <c r="E62">
        <v>1745</v>
      </c>
      <c r="F62">
        <v>10.28</v>
      </c>
      <c r="G62">
        <v>24844</v>
      </c>
    </row>
    <row r="63" spans="1:7" x14ac:dyDescent="0.2">
      <c r="A63" t="s">
        <v>212</v>
      </c>
      <c r="B63" t="s">
        <v>213</v>
      </c>
      <c r="C63">
        <v>1.9</v>
      </c>
      <c r="D63">
        <v>170</v>
      </c>
      <c r="E63">
        <v>1713</v>
      </c>
      <c r="F63">
        <v>10.87</v>
      </c>
      <c r="G63">
        <v>24485</v>
      </c>
    </row>
    <row r="64" spans="1:7" x14ac:dyDescent="0.2">
      <c r="A64" t="s">
        <v>214</v>
      </c>
      <c r="B64" t="s">
        <v>215</v>
      </c>
      <c r="C64">
        <v>2.2400000000000002</v>
      </c>
      <c r="D64">
        <v>204</v>
      </c>
      <c r="E64">
        <v>1605</v>
      </c>
      <c r="F64">
        <v>11.36</v>
      </c>
      <c r="G64">
        <v>28755</v>
      </c>
    </row>
    <row r="65" spans="1:7" x14ac:dyDescent="0.2">
      <c r="A65" t="s">
        <v>216</v>
      </c>
      <c r="B65" t="s">
        <v>217</v>
      </c>
      <c r="C65">
        <v>2.04</v>
      </c>
      <c r="D65">
        <v>136</v>
      </c>
      <c r="E65">
        <v>1638</v>
      </c>
      <c r="F65">
        <v>9.73</v>
      </c>
      <c r="G65">
        <v>27383</v>
      </c>
    </row>
    <row r="66" spans="1:7" x14ac:dyDescent="0.2">
      <c r="A66" t="s">
        <v>218</v>
      </c>
      <c r="B66" t="s">
        <v>219</v>
      </c>
      <c r="C66">
        <v>1.07</v>
      </c>
      <c r="D66">
        <v>107</v>
      </c>
      <c r="E66">
        <v>1438</v>
      </c>
      <c r="F66">
        <v>7.41</v>
      </c>
      <c r="G66">
        <v>17518</v>
      </c>
    </row>
    <row r="67" spans="1:7" x14ac:dyDescent="0.2">
      <c r="A67" t="s">
        <v>220</v>
      </c>
      <c r="B67" t="s">
        <v>221</v>
      </c>
      <c r="C67">
        <v>2.23</v>
      </c>
      <c r="D67">
        <v>220</v>
      </c>
      <c r="E67">
        <v>1686</v>
      </c>
      <c r="F67">
        <v>11.49</v>
      </c>
      <c r="G67">
        <v>34657</v>
      </c>
    </row>
    <row r="68" spans="1:7" x14ac:dyDescent="0.2">
      <c r="A68" t="s">
        <v>222</v>
      </c>
      <c r="B68" t="s">
        <v>223</v>
      </c>
      <c r="C68">
        <v>0.8</v>
      </c>
      <c r="D68">
        <v>75</v>
      </c>
      <c r="E68">
        <v>1327</v>
      </c>
      <c r="F68">
        <v>9.31</v>
      </c>
      <c r="G68">
        <v>8194</v>
      </c>
    </row>
    <row r="69" spans="1:7" x14ac:dyDescent="0.2">
      <c r="A69" t="s">
        <v>224</v>
      </c>
      <c r="B69" t="s">
        <v>225</v>
      </c>
      <c r="C69">
        <v>2.0699999999999998</v>
      </c>
      <c r="D69">
        <v>180</v>
      </c>
      <c r="E69">
        <v>1592</v>
      </c>
      <c r="F69">
        <v>10.58</v>
      </c>
      <c r="G69">
        <v>26832</v>
      </c>
    </row>
    <row r="70" spans="1:7" x14ac:dyDescent="0.2">
      <c r="A70" t="s">
        <v>226</v>
      </c>
      <c r="B70" t="s">
        <v>227</v>
      </c>
      <c r="C70">
        <v>2.9</v>
      </c>
      <c r="D70">
        <v>248</v>
      </c>
      <c r="E70">
        <v>1907</v>
      </c>
      <c r="F70">
        <v>13.63</v>
      </c>
      <c r="G70">
        <v>39736</v>
      </c>
    </row>
    <row r="71" spans="1:7" x14ac:dyDescent="0.2">
      <c r="A71" t="s">
        <v>228</v>
      </c>
      <c r="B71" t="s">
        <v>229</v>
      </c>
      <c r="C71">
        <v>1.54</v>
      </c>
      <c r="D71">
        <v>148</v>
      </c>
      <c r="E71">
        <v>1465</v>
      </c>
      <c r="F71">
        <v>10.7</v>
      </c>
      <c r="G71">
        <v>19086</v>
      </c>
    </row>
    <row r="72" spans="1:7" x14ac:dyDescent="0.2">
      <c r="A72" t="s">
        <v>230</v>
      </c>
      <c r="B72" t="s">
        <v>231</v>
      </c>
      <c r="C72">
        <v>2.37</v>
      </c>
      <c r="D72">
        <v>224</v>
      </c>
      <c r="E72">
        <v>1624</v>
      </c>
      <c r="F72">
        <v>11.13</v>
      </c>
      <c r="G72">
        <v>36422</v>
      </c>
    </row>
    <row r="73" spans="1:7" x14ac:dyDescent="0.2">
      <c r="A73" t="s">
        <v>232</v>
      </c>
      <c r="B73" t="s">
        <v>233</v>
      </c>
      <c r="C73">
        <v>0.98</v>
      </c>
      <c r="D73">
        <v>118</v>
      </c>
      <c r="E73">
        <v>1312</v>
      </c>
      <c r="F73">
        <v>10.25</v>
      </c>
      <c r="G73">
        <v>18339</v>
      </c>
    </row>
    <row r="74" spans="1:7" x14ac:dyDescent="0.2">
      <c r="A74" t="s">
        <v>234</v>
      </c>
      <c r="B74" t="s">
        <v>235</v>
      </c>
      <c r="C74">
        <v>1.6</v>
      </c>
      <c r="D74">
        <v>145</v>
      </c>
      <c r="E74">
        <v>1599</v>
      </c>
      <c r="F74">
        <v>11.69</v>
      </c>
      <c r="G74">
        <v>21665</v>
      </c>
    </row>
    <row r="75" spans="1:7" x14ac:dyDescent="0.2">
      <c r="A75" t="s">
        <v>236</v>
      </c>
      <c r="B75" t="s">
        <v>237</v>
      </c>
      <c r="C75">
        <v>2.37</v>
      </c>
      <c r="D75">
        <v>227</v>
      </c>
      <c r="E75">
        <v>1649</v>
      </c>
      <c r="F75">
        <v>11.39</v>
      </c>
      <c r="G75">
        <v>33414</v>
      </c>
    </row>
    <row r="76" spans="1:7" x14ac:dyDescent="0.2">
      <c r="A76" t="s">
        <v>238</v>
      </c>
      <c r="B76" t="s">
        <v>239</v>
      </c>
      <c r="C76">
        <v>2.4900000000000002</v>
      </c>
      <c r="D76">
        <v>262</v>
      </c>
      <c r="E76">
        <v>1775</v>
      </c>
      <c r="F76">
        <v>11.85</v>
      </c>
      <c r="G76">
        <v>39593</v>
      </c>
    </row>
    <row r="77" spans="1:7" x14ac:dyDescent="0.2">
      <c r="A77" t="s">
        <v>240</v>
      </c>
      <c r="B77" t="s">
        <v>241</v>
      </c>
      <c r="C77">
        <v>2.69</v>
      </c>
      <c r="D77">
        <v>181</v>
      </c>
      <c r="E77">
        <v>1893</v>
      </c>
      <c r="F77">
        <v>12.3</v>
      </c>
      <c r="G77">
        <v>27165</v>
      </c>
    </row>
    <row r="78" spans="1:7" x14ac:dyDescent="0.2">
      <c r="A78" t="s">
        <v>242</v>
      </c>
      <c r="B78" t="s">
        <v>243</v>
      </c>
      <c r="C78">
        <v>1.27</v>
      </c>
      <c r="D78">
        <v>160</v>
      </c>
      <c r="E78">
        <v>1438</v>
      </c>
      <c r="F78">
        <v>9.73</v>
      </c>
      <c r="G78">
        <v>22587</v>
      </c>
    </row>
    <row r="79" spans="1:7" x14ac:dyDescent="0.2">
      <c r="A79" t="s">
        <v>244</v>
      </c>
      <c r="B79" t="s">
        <v>245</v>
      </c>
      <c r="C79">
        <v>2.31</v>
      </c>
      <c r="D79">
        <v>216</v>
      </c>
      <c r="E79">
        <v>1700</v>
      </c>
      <c r="F79">
        <v>11.36</v>
      </c>
      <c r="G79">
        <v>30939</v>
      </c>
    </row>
    <row r="80" spans="1:7" x14ac:dyDescent="0.2">
      <c r="A80" t="s">
        <v>246</v>
      </c>
      <c r="B80" t="s">
        <v>247</v>
      </c>
      <c r="C80">
        <v>1.31</v>
      </c>
      <c r="D80">
        <v>153</v>
      </c>
      <c r="E80">
        <v>1291</v>
      </c>
      <c r="F80">
        <v>9.76</v>
      </c>
      <c r="G80">
        <v>18401</v>
      </c>
    </row>
    <row r="81" spans="1:7" x14ac:dyDescent="0.2">
      <c r="A81" t="s">
        <v>248</v>
      </c>
      <c r="B81" t="s">
        <v>249</v>
      </c>
      <c r="C81">
        <v>2.12</v>
      </c>
      <c r="D81">
        <v>146</v>
      </c>
      <c r="E81">
        <v>1853</v>
      </c>
      <c r="F81">
        <v>11.43</v>
      </c>
      <c r="G81">
        <v>19424</v>
      </c>
    </row>
    <row r="82" spans="1:7" x14ac:dyDescent="0.2">
      <c r="A82" t="s">
        <v>250</v>
      </c>
      <c r="B82" t="s">
        <v>251</v>
      </c>
      <c r="C82">
        <v>1.81</v>
      </c>
      <c r="D82">
        <v>155</v>
      </c>
      <c r="E82">
        <v>1406</v>
      </c>
      <c r="F82">
        <v>10.7</v>
      </c>
      <c r="G82">
        <v>17264</v>
      </c>
    </row>
    <row r="83" spans="1:7" x14ac:dyDescent="0.2">
      <c r="A83" t="s">
        <v>252</v>
      </c>
      <c r="B83" t="s">
        <v>253</v>
      </c>
      <c r="C83">
        <v>2.0099999999999998</v>
      </c>
      <c r="D83">
        <v>176</v>
      </c>
      <c r="E83">
        <v>1666</v>
      </c>
      <c r="F83">
        <v>10.48</v>
      </c>
      <c r="G83">
        <v>30751</v>
      </c>
    </row>
    <row r="84" spans="1:7" x14ac:dyDescent="0.2">
      <c r="A84" t="s">
        <v>254</v>
      </c>
      <c r="B84" t="s">
        <v>255</v>
      </c>
      <c r="C84">
        <v>2.25</v>
      </c>
      <c r="D84">
        <v>172</v>
      </c>
      <c r="E84">
        <v>1713</v>
      </c>
      <c r="F84">
        <v>10.93</v>
      </c>
      <c r="G84">
        <v>26709</v>
      </c>
    </row>
    <row r="85" spans="1:7" x14ac:dyDescent="0.2">
      <c r="A85" t="s">
        <v>256</v>
      </c>
      <c r="B85" t="s">
        <v>257</v>
      </c>
      <c r="C85">
        <v>1.62</v>
      </c>
      <c r="D85">
        <v>162</v>
      </c>
      <c r="E85">
        <v>1649</v>
      </c>
      <c r="F85">
        <v>10.33</v>
      </c>
      <c r="G85">
        <v>23611</v>
      </c>
    </row>
    <row r="86" spans="1:7" x14ac:dyDescent="0.2">
      <c r="A86" t="s">
        <v>258</v>
      </c>
      <c r="B86" t="s">
        <v>259</v>
      </c>
      <c r="C86">
        <v>2.06</v>
      </c>
      <c r="D86">
        <v>192</v>
      </c>
      <c r="E86">
        <v>1596</v>
      </c>
      <c r="F86">
        <v>10.75</v>
      </c>
      <c r="G86">
        <v>26072</v>
      </c>
    </row>
    <row r="87" spans="1:7" x14ac:dyDescent="0.2">
      <c r="A87" t="s">
        <v>260</v>
      </c>
      <c r="B87" t="s">
        <v>261</v>
      </c>
      <c r="C87">
        <v>1.0900000000000001</v>
      </c>
      <c r="D87">
        <v>119</v>
      </c>
      <c r="E87">
        <v>1410</v>
      </c>
      <c r="F87">
        <v>9.6</v>
      </c>
      <c r="G87">
        <v>16357</v>
      </c>
    </row>
    <row r="88" spans="1:7" x14ac:dyDescent="0.2">
      <c r="A88" t="s">
        <v>262</v>
      </c>
      <c r="B88" t="s">
        <v>263</v>
      </c>
      <c r="C88">
        <v>1.18</v>
      </c>
      <c r="D88">
        <v>102</v>
      </c>
      <c r="E88">
        <v>1287</v>
      </c>
      <c r="F88">
        <v>9.81</v>
      </c>
      <c r="G88">
        <v>15382</v>
      </c>
    </row>
    <row r="89" spans="1:7" x14ac:dyDescent="0.2">
      <c r="A89" t="s">
        <v>264</v>
      </c>
      <c r="B89" t="s">
        <v>265</v>
      </c>
      <c r="C89">
        <v>2.4300000000000002</v>
      </c>
      <c r="D89">
        <v>217</v>
      </c>
      <c r="E89">
        <v>1857</v>
      </c>
      <c r="F89">
        <v>11.56</v>
      </c>
      <c r="G89">
        <v>29791</v>
      </c>
    </row>
    <row r="90" spans="1:7" x14ac:dyDescent="0.2">
      <c r="A90" t="s">
        <v>266</v>
      </c>
      <c r="B90" t="s">
        <v>267</v>
      </c>
      <c r="C90">
        <v>1.58</v>
      </c>
      <c r="D90">
        <v>124</v>
      </c>
      <c r="E90">
        <v>1545</v>
      </c>
      <c r="F90">
        <v>10.56</v>
      </c>
      <c r="G90">
        <v>17506</v>
      </c>
    </row>
    <row r="91" spans="1:7" x14ac:dyDescent="0.2">
      <c r="A91" t="s">
        <v>268</v>
      </c>
      <c r="B91" t="s">
        <v>269</v>
      </c>
      <c r="C91">
        <v>1.97</v>
      </c>
      <c r="D91">
        <v>197</v>
      </c>
      <c r="E91">
        <v>1584</v>
      </c>
      <c r="F91">
        <v>10.14</v>
      </c>
      <c r="G91">
        <v>29977</v>
      </c>
    </row>
    <row r="92" spans="1:7" x14ac:dyDescent="0.2">
      <c r="A92" t="s">
        <v>270</v>
      </c>
      <c r="B92" t="s">
        <v>271</v>
      </c>
      <c r="C92">
        <v>1.59</v>
      </c>
      <c r="D92">
        <v>151</v>
      </c>
      <c r="E92">
        <v>1399</v>
      </c>
      <c r="F92">
        <v>10.33</v>
      </c>
      <c r="G92">
        <v>19068</v>
      </c>
    </row>
    <row r="93" spans="1:7" x14ac:dyDescent="0.2">
      <c r="A93" t="s">
        <v>272</v>
      </c>
      <c r="B93" t="s">
        <v>273</v>
      </c>
      <c r="C93">
        <v>1.78</v>
      </c>
      <c r="D93">
        <v>189</v>
      </c>
      <c r="E93">
        <v>1618</v>
      </c>
      <c r="F93">
        <v>9.15</v>
      </c>
      <c r="G93">
        <v>28443</v>
      </c>
    </row>
    <row r="94" spans="1:7" x14ac:dyDescent="0.2">
      <c r="A94" t="s">
        <v>274</v>
      </c>
      <c r="B94" t="s">
        <v>275</v>
      </c>
      <c r="C94">
        <v>2.17</v>
      </c>
      <c r="D94">
        <v>189</v>
      </c>
      <c r="E94">
        <v>1702</v>
      </c>
      <c r="F94">
        <v>11.26</v>
      </c>
      <c r="G94">
        <v>27484</v>
      </c>
    </row>
    <row r="95" spans="1:7" x14ac:dyDescent="0.2">
      <c r="A95" t="s">
        <v>276</v>
      </c>
      <c r="B95" t="s">
        <v>277</v>
      </c>
      <c r="C95">
        <v>1.49</v>
      </c>
      <c r="D95">
        <v>145</v>
      </c>
      <c r="E95">
        <v>1477</v>
      </c>
      <c r="F95">
        <v>10.29</v>
      </c>
      <c r="G95">
        <v>20869</v>
      </c>
    </row>
    <row r="96" spans="1:7" x14ac:dyDescent="0.2">
      <c r="A96" t="s">
        <v>278</v>
      </c>
      <c r="B96" t="s">
        <v>279</v>
      </c>
      <c r="C96">
        <v>2.2999999999999998</v>
      </c>
      <c r="D96">
        <v>173</v>
      </c>
      <c r="E96">
        <v>1711</v>
      </c>
      <c r="F96">
        <v>11.67</v>
      </c>
      <c r="G96">
        <v>31920</v>
      </c>
    </row>
    <row r="97" spans="1:7" x14ac:dyDescent="0.2">
      <c r="A97" t="s">
        <v>280</v>
      </c>
      <c r="B97" t="s">
        <v>281</v>
      </c>
      <c r="C97">
        <v>1.41</v>
      </c>
      <c r="D97">
        <v>117</v>
      </c>
      <c r="E97">
        <v>1480</v>
      </c>
      <c r="F97">
        <v>10.02</v>
      </c>
      <c r="G97">
        <v>11519</v>
      </c>
    </row>
    <row r="98" spans="1:7" x14ac:dyDescent="0.2">
      <c r="A98" t="s">
        <v>282</v>
      </c>
      <c r="B98" t="s">
        <v>283</v>
      </c>
      <c r="C98">
        <v>2.5099999999999998</v>
      </c>
      <c r="D98">
        <v>205</v>
      </c>
      <c r="E98">
        <v>1728</v>
      </c>
      <c r="F98">
        <v>12.03</v>
      </c>
      <c r="G98">
        <v>30453</v>
      </c>
    </row>
    <row r="99" spans="1:7" x14ac:dyDescent="0.2">
      <c r="A99" t="s">
        <v>284</v>
      </c>
      <c r="B99" t="s">
        <v>285</v>
      </c>
      <c r="C99">
        <v>1.59</v>
      </c>
      <c r="D99">
        <v>158</v>
      </c>
      <c r="E99">
        <v>1646</v>
      </c>
      <c r="F99">
        <v>11.11</v>
      </c>
      <c r="G99">
        <v>17143</v>
      </c>
    </row>
    <row r="100" spans="1:7" x14ac:dyDescent="0.2">
      <c r="A100" t="s">
        <v>286</v>
      </c>
      <c r="B100" t="s">
        <v>287</v>
      </c>
      <c r="C100">
        <v>2.33</v>
      </c>
      <c r="D100">
        <v>240</v>
      </c>
      <c r="E100">
        <v>1571</v>
      </c>
      <c r="F100">
        <v>11.58</v>
      </c>
      <c r="G100">
        <v>34120</v>
      </c>
    </row>
    <row r="101" spans="1:7" x14ac:dyDescent="0.2">
      <c r="A101" t="s">
        <v>288</v>
      </c>
      <c r="B101" t="s">
        <v>289</v>
      </c>
      <c r="C101">
        <v>1.52</v>
      </c>
      <c r="D101">
        <v>179</v>
      </c>
      <c r="E101">
        <v>1583</v>
      </c>
      <c r="F101">
        <v>9.1999999999999993</v>
      </c>
      <c r="G101">
        <v>23320</v>
      </c>
    </row>
  </sheetData>
  <mergeCells count="1">
    <mergeCell ref="N1:O1"/>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E60DB0-F0E9-1148-B599-72025902F438}">
  <dimension ref="A1:I127"/>
  <sheetViews>
    <sheetView workbookViewId="0">
      <selection activeCell="A10" sqref="A10:F14"/>
    </sheetView>
  </sheetViews>
  <sheetFormatPr baseColWidth="10" defaultRowHeight="16" x14ac:dyDescent="0.2"/>
  <cols>
    <col min="1" max="1" width="25.6640625" bestFit="1" customWidth="1"/>
    <col min="2" max="2" width="18.5" bestFit="1" customWidth="1"/>
    <col min="3" max="3" width="13.5" bestFit="1" customWidth="1"/>
    <col min="6" max="6" width="13" bestFit="1" customWidth="1"/>
  </cols>
  <sheetData>
    <row r="1" spans="1:9" x14ac:dyDescent="0.2">
      <c r="A1" t="s">
        <v>292</v>
      </c>
    </row>
    <row r="2" spans="1:9" ht="17" thickBot="1" x14ac:dyDescent="0.25"/>
    <row r="3" spans="1:9" x14ac:dyDescent="0.2">
      <c r="A3" s="80" t="s">
        <v>293</v>
      </c>
      <c r="B3" s="80"/>
    </row>
    <row r="4" spans="1:9" x14ac:dyDescent="0.2">
      <c r="A4" t="s">
        <v>294</v>
      </c>
      <c r="B4">
        <v>0.92028347038084302</v>
      </c>
    </row>
    <row r="5" spans="1:9" x14ac:dyDescent="0.2">
      <c r="A5" t="s">
        <v>295</v>
      </c>
      <c r="B5">
        <v>0.84692166585620798</v>
      </c>
    </row>
    <row r="6" spans="1:9" x14ac:dyDescent="0.2">
      <c r="A6" t="s">
        <v>296</v>
      </c>
      <c r="B6">
        <v>0.84047626231331152</v>
      </c>
    </row>
    <row r="7" spans="1:9" x14ac:dyDescent="0.2">
      <c r="A7" t="s">
        <v>297</v>
      </c>
      <c r="B7">
        <v>2882.1896387446463</v>
      </c>
    </row>
    <row r="8" spans="1:9" ht="17" thickBot="1" x14ac:dyDescent="0.25">
      <c r="A8" s="75" t="s">
        <v>298</v>
      </c>
      <c r="B8" s="75">
        <v>100</v>
      </c>
    </row>
    <row r="10" spans="1:9" ht="17" thickBot="1" x14ac:dyDescent="0.25">
      <c r="A10" t="s">
        <v>299</v>
      </c>
    </row>
    <row r="11" spans="1:9" x14ac:dyDescent="0.2">
      <c r="A11" s="79"/>
      <c r="B11" s="79" t="s">
        <v>304</v>
      </c>
      <c r="C11" s="79" t="s">
        <v>305</v>
      </c>
      <c r="D11" s="79" t="s">
        <v>306</v>
      </c>
      <c r="E11" s="79" t="s">
        <v>307</v>
      </c>
      <c r="F11" s="79" t="s">
        <v>308</v>
      </c>
    </row>
    <row r="12" spans="1:9" x14ac:dyDescent="0.2">
      <c r="A12" t="s">
        <v>300</v>
      </c>
      <c r="B12">
        <v>4</v>
      </c>
      <c r="C12">
        <v>4366145719.4397345</v>
      </c>
      <c r="D12">
        <v>1091536429.8599336</v>
      </c>
      <c r="E12">
        <v>131.39932359853594</v>
      </c>
      <c r="F12">
        <v>7.9177635311547976E-38</v>
      </c>
    </row>
    <row r="13" spans="1:9" x14ac:dyDescent="0.2">
      <c r="A13" t="s">
        <v>301</v>
      </c>
      <c r="B13">
        <v>95</v>
      </c>
      <c r="C13">
        <v>789166625.8002646</v>
      </c>
      <c r="D13">
        <v>8307017.1136869956</v>
      </c>
    </row>
    <row r="14" spans="1:9" ht="17" thickBot="1" x14ac:dyDescent="0.25">
      <c r="A14" s="75" t="s">
        <v>302</v>
      </c>
      <c r="B14" s="75">
        <v>99</v>
      </c>
      <c r="C14" s="75">
        <v>5155312345.2399988</v>
      </c>
      <c r="D14" s="75"/>
      <c r="E14" s="75"/>
      <c r="F14" s="75"/>
    </row>
    <row r="15" spans="1:9" ht="17" thickBot="1" x14ac:dyDescent="0.25"/>
    <row r="16" spans="1:9" x14ac:dyDescent="0.2">
      <c r="A16" s="79"/>
      <c r="B16" s="79" t="s">
        <v>309</v>
      </c>
      <c r="C16" s="79" t="s">
        <v>297</v>
      </c>
      <c r="D16" s="79" t="s">
        <v>310</v>
      </c>
      <c r="E16" s="79" t="s">
        <v>311</v>
      </c>
      <c r="F16" s="79" t="s">
        <v>312</v>
      </c>
      <c r="G16" s="79" t="s">
        <v>313</v>
      </c>
      <c r="H16" s="79" t="s">
        <v>314</v>
      </c>
      <c r="I16" s="79" t="s">
        <v>315</v>
      </c>
    </row>
    <row r="17" spans="1:9" x14ac:dyDescent="0.2">
      <c r="A17" t="s">
        <v>303</v>
      </c>
      <c r="B17">
        <v>8360.8823894957386</v>
      </c>
      <c r="C17">
        <v>3974.6435302016466</v>
      </c>
      <c r="D17">
        <v>2.103555281364204</v>
      </c>
      <c r="E17">
        <v>3.805936211703078E-2</v>
      </c>
      <c r="F17">
        <v>470.21733258628683</v>
      </c>
      <c r="G17">
        <v>16251.547446405191</v>
      </c>
      <c r="H17">
        <v>470.21733258628683</v>
      </c>
      <c r="I17">
        <v>16251.547446405191</v>
      </c>
    </row>
    <row r="18" spans="1:9" x14ac:dyDescent="0.2">
      <c r="A18" t="s">
        <v>85</v>
      </c>
      <c r="B18">
        <v>5600.9974765841007</v>
      </c>
      <c r="C18">
        <v>1554.0599000875241</v>
      </c>
      <c r="D18">
        <v>3.6041065574555105</v>
      </c>
      <c r="E18">
        <v>5.0104444690032791E-4</v>
      </c>
      <c r="F18">
        <v>2515.7985004276907</v>
      </c>
      <c r="G18">
        <v>8686.1964527405107</v>
      </c>
      <c r="H18">
        <v>2515.7985004276907</v>
      </c>
      <c r="I18">
        <v>8686.1964527405107</v>
      </c>
    </row>
    <row r="19" spans="1:9" x14ac:dyDescent="0.2">
      <c r="A19" t="s">
        <v>86</v>
      </c>
      <c r="B19">
        <v>116.6285208296387</v>
      </c>
      <c r="C19">
        <v>11.582426601083398</v>
      </c>
      <c r="D19">
        <v>10.069437506189722</v>
      </c>
      <c r="E19">
        <v>1.1741389415194606E-16</v>
      </c>
      <c r="F19">
        <v>93.634496796809117</v>
      </c>
      <c r="G19">
        <v>139.62254486246829</v>
      </c>
      <c r="H19">
        <v>93.634496796809117</v>
      </c>
      <c r="I19">
        <v>139.62254486246829</v>
      </c>
    </row>
    <row r="20" spans="1:9" x14ac:dyDescent="0.2">
      <c r="A20" t="s">
        <v>87</v>
      </c>
      <c r="B20">
        <v>-2.3730206721784373</v>
      </c>
      <c r="C20">
        <v>2.7387408795318917</v>
      </c>
      <c r="D20">
        <v>-0.86646410761723336</v>
      </c>
      <c r="E20">
        <v>0.38841882228155444</v>
      </c>
      <c r="F20">
        <v>-7.8101087516106542</v>
      </c>
      <c r="G20">
        <v>3.0640674072537792</v>
      </c>
      <c r="H20">
        <v>-7.8101087516106542</v>
      </c>
      <c r="I20">
        <v>3.0640674072537792</v>
      </c>
    </row>
    <row r="21" spans="1:9" ht="17" thickBot="1" x14ac:dyDescent="0.25">
      <c r="A21" s="75" t="s">
        <v>88</v>
      </c>
      <c r="B21" s="75">
        <v>-915.1554023653041</v>
      </c>
      <c r="C21" s="75">
        <v>460.56104444979695</v>
      </c>
      <c r="D21" s="75">
        <v>-1.9870447433490215</v>
      </c>
      <c r="E21" s="75">
        <v>4.979749741165676E-2</v>
      </c>
      <c r="F21" s="75">
        <v>-1829.4846780348034</v>
      </c>
      <c r="G21" s="75">
        <v>-0.82612669580475995</v>
      </c>
      <c r="H21" s="75">
        <v>-1829.4846780348034</v>
      </c>
      <c r="I21" s="75">
        <v>-0.82612669580475995</v>
      </c>
    </row>
    <row r="25" spans="1:9" x14ac:dyDescent="0.2">
      <c r="A25" t="s">
        <v>316</v>
      </c>
    </row>
    <row r="26" spans="1:9" ht="17" thickBot="1" x14ac:dyDescent="0.25"/>
    <row r="27" spans="1:9" x14ac:dyDescent="0.2">
      <c r="A27" s="79" t="s">
        <v>317</v>
      </c>
      <c r="B27" s="79" t="s">
        <v>318</v>
      </c>
      <c r="C27" s="79" t="s">
        <v>319</v>
      </c>
    </row>
    <row r="28" spans="1:9" x14ac:dyDescent="0.2">
      <c r="A28">
        <v>1</v>
      </c>
      <c r="B28">
        <v>32704.46494446653</v>
      </c>
      <c r="C28">
        <v>1.5350555334698583</v>
      </c>
    </row>
    <row r="29" spans="1:9" x14ac:dyDescent="0.2">
      <c r="A29">
        <v>2</v>
      </c>
      <c r="B29">
        <v>17524.269829875164</v>
      </c>
      <c r="C29">
        <v>-1420.2698298751639</v>
      </c>
    </row>
    <row r="30" spans="1:9" x14ac:dyDescent="0.2">
      <c r="A30">
        <v>3</v>
      </c>
      <c r="B30">
        <v>31736.363685919197</v>
      </c>
      <c r="C30">
        <v>-1616.3636859191975</v>
      </c>
    </row>
    <row r="31" spans="1:9" x14ac:dyDescent="0.2">
      <c r="A31">
        <v>4</v>
      </c>
      <c r="B31">
        <v>20916.00051147243</v>
      </c>
      <c r="C31">
        <v>7384.9994885275701</v>
      </c>
    </row>
    <row r="32" spans="1:9" x14ac:dyDescent="0.2">
      <c r="A32">
        <v>5</v>
      </c>
      <c r="B32">
        <v>11777.122250712806</v>
      </c>
      <c r="C32">
        <v>1211.8777492871941</v>
      </c>
    </row>
    <row r="33" spans="1:3" x14ac:dyDescent="0.2">
      <c r="A33">
        <v>6</v>
      </c>
      <c r="B33">
        <v>19092.142577158636</v>
      </c>
      <c r="C33">
        <v>-1952.1425771586364</v>
      </c>
    </row>
    <row r="34" spans="1:3" x14ac:dyDescent="0.2">
      <c r="A34">
        <v>7</v>
      </c>
      <c r="B34">
        <v>23946.311444226179</v>
      </c>
      <c r="C34">
        <v>2629.6885557738206</v>
      </c>
    </row>
    <row r="35" spans="1:3" x14ac:dyDescent="0.2">
      <c r="A35">
        <v>8</v>
      </c>
      <c r="B35">
        <v>35681.333410565334</v>
      </c>
      <c r="C35">
        <v>841.66658943466609</v>
      </c>
    </row>
    <row r="36" spans="1:3" x14ac:dyDescent="0.2">
      <c r="A36">
        <v>9</v>
      </c>
      <c r="B36">
        <v>31680.297058722412</v>
      </c>
      <c r="C36">
        <v>-1431.2970587224117</v>
      </c>
    </row>
    <row r="37" spans="1:3" x14ac:dyDescent="0.2">
      <c r="A37">
        <v>10</v>
      </c>
      <c r="B37">
        <v>23697.994959972562</v>
      </c>
      <c r="C37">
        <v>-667.99495997256236</v>
      </c>
    </row>
    <row r="38" spans="1:3" x14ac:dyDescent="0.2">
      <c r="A38">
        <v>11</v>
      </c>
      <c r="B38">
        <v>19662.552891270367</v>
      </c>
      <c r="C38">
        <v>-1939.5528912703667</v>
      </c>
    </row>
    <row r="39" spans="1:3" x14ac:dyDescent="0.2">
      <c r="A39">
        <v>12</v>
      </c>
      <c r="B39">
        <v>33216.386935949253</v>
      </c>
      <c r="C39">
        <v>2616.6130640507472</v>
      </c>
    </row>
    <row r="40" spans="1:3" x14ac:dyDescent="0.2">
      <c r="A40">
        <v>13</v>
      </c>
      <c r="B40">
        <v>24037.156004377612</v>
      </c>
      <c r="C40">
        <v>1517.8439956223883</v>
      </c>
    </row>
    <row r="41" spans="1:3" x14ac:dyDescent="0.2">
      <c r="A41">
        <v>14</v>
      </c>
      <c r="B41">
        <v>24577.277539421404</v>
      </c>
      <c r="C41">
        <v>4651.7224605785959</v>
      </c>
    </row>
    <row r="42" spans="1:3" x14ac:dyDescent="0.2">
      <c r="A42">
        <v>15</v>
      </c>
      <c r="B42">
        <v>20687.803765834775</v>
      </c>
      <c r="C42">
        <v>-2901.8037658347748</v>
      </c>
    </row>
    <row r="43" spans="1:3" x14ac:dyDescent="0.2">
      <c r="A43">
        <v>16</v>
      </c>
      <c r="B43">
        <v>19007.272649287122</v>
      </c>
      <c r="C43">
        <v>2523.7273507128775</v>
      </c>
    </row>
    <row r="44" spans="1:3" x14ac:dyDescent="0.2">
      <c r="A44">
        <v>17</v>
      </c>
      <c r="B44">
        <v>31452.863780687032</v>
      </c>
      <c r="C44">
        <v>-1221.863780687032</v>
      </c>
    </row>
    <row r="45" spans="1:3" x14ac:dyDescent="0.2">
      <c r="A45">
        <v>18</v>
      </c>
      <c r="B45">
        <v>27032.332340122579</v>
      </c>
      <c r="C45">
        <v>-134.3323401225789</v>
      </c>
    </row>
    <row r="46" spans="1:3" x14ac:dyDescent="0.2">
      <c r="A46">
        <v>19</v>
      </c>
      <c r="B46">
        <v>36268.131231827982</v>
      </c>
      <c r="C46">
        <v>377.86876817201846</v>
      </c>
    </row>
    <row r="47" spans="1:3" x14ac:dyDescent="0.2">
      <c r="A47">
        <v>20</v>
      </c>
      <c r="B47">
        <v>22766.382015097595</v>
      </c>
      <c r="C47">
        <v>-3182.3820150975953</v>
      </c>
    </row>
    <row r="48" spans="1:3" x14ac:dyDescent="0.2">
      <c r="A48">
        <v>21</v>
      </c>
      <c r="B48">
        <v>33602.842022617413</v>
      </c>
      <c r="C48">
        <v>1512.157977382587</v>
      </c>
    </row>
    <row r="49" spans="1:3" x14ac:dyDescent="0.2">
      <c r="A49">
        <v>22</v>
      </c>
      <c r="B49">
        <v>28297.435755144706</v>
      </c>
      <c r="C49">
        <v>-2382.4357551447065</v>
      </c>
    </row>
    <row r="50" spans="1:3" x14ac:dyDescent="0.2">
      <c r="A50">
        <v>23</v>
      </c>
      <c r="B50">
        <v>33787.221155049207</v>
      </c>
      <c r="C50">
        <v>1425.7788449507934</v>
      </c>
    </row>
    <row r="51" spans="1:3" x14ac:dyDescent="0.2">
      <c r="A51">
        <v>24</v>
      </c>
      <c r="B51">
        <v>23919.039204193054</v>
      </c>
      <c r="C51">
        <v>1748.9607958069464</v>
      </c>
    </row>
    <row r="52" spans="1:3" x14ac:dyDescent="0.2">
      <c r="A52">
        <v>25</v>
      </c>
      <c r="B52">
        <v>21609.12514786578</v>
      </c>
      <c r="C52">
        <v>1125.8748521342204</v>
      </c>
    </row>
    <row r="53" spans="1:3" x14ac:dyDescent="0.2">
      <c r="A53">
        <v>26</v>
      </c>
      <c r="B53">
        <v>28184.403550846946</v>
      </c>
      <c r="C53">
        <v>2816.596449153054</v>
      </c>
    </row>
    <row r="54" spans="1:3" x14ac:dyDescent="0.2">
      <c r="A54">
        <v>27</v>
      </c>
      <c r="B54">
        <v>23045.499162179367</v>
      </c>
      <c r="C54">
        <v>883.50083782063302</v>
      </c>
    </row>
    <row r="55" spans="1:3" x14ac:dyDescent="0.2">
      <c r="A55">
        <v>28</v>
      </c>
      <c r="B55">
        <v>16205.058341594826</v>
      </c>
      <c r="C55">
        <v>3075.9416584051742</v>
      </c>
    </row>
    <row r="56" spans="1:3" x14ac:dyDescent="0.2">
      <c r="A56">
        <v>29</v>
      </c>
      <c r="B56">
        <v>24997.869788886641</v>
      </c>
      <c r="C56">
        <v>-1099.8697888866409</v>
      </c>
    </row>
    <row r="57" spans="1:3" x14ac:dyDescent="0.2">
      <c r="A57">
        <v>30</v>
      </c>
      <c r="B57">
        <v>34873.338232119488</v>
      </c>
      <c r="C57">
        <v>1987.6617678805123</v>
      </c>
    </row>
    <row r="58" spans="1:3" x14ac:dyDescent="0.2">
      <c r="A58">
        <v>31</v>
      </c>
      <c r="B58">
        <v>27698.11908655685</v>
      </c>
      <c r="C58">
        <v>-548.11908655684965</v>
      </c>
    </row>
    <row r="59" spans="1:3" x14ac:dyDescent="0.2">
      <c r="A59">
        <v>32</v>
      </c>
      <c r="B59">
        <v>26392.286097783224</v>
      </c>
      <c r="C59">
        <v>-3720.2860977832242</v>
      </c>
    </row>
    <row r="60" spans="1:3" x14ac:dyDescent="0.2">
      <c r="A60">
        <v>33</v>
      </c>
      <c r="B60">
        <v>25730.668804708672</v>
      </c>
      <c r="C60">
        <v>6063.3311952913282</v>
      </c>
    </row>
    <row r="61" spans="1:3" x14ac:dyDescent="0.2">
      <c r="A61">
        <v>34</v>
      </c>
      <c r="B61">
        <v>43128.422856543926</v>
      </c>
      <c r="C61">
        <v>-1797.4228565439262</v>
      </c>
    </row>
    <row r="62" spans="1:3" x14ac:dyDescent="0.2">
      <c r="A62">
        <v>35</v>
      </c>
      <c r="B62">
        <v>28601.105712850054</v>
      </c>
      <c r="C62">
        <v>-3682.1057128500543</v>
      </c>
    </row>
    <row r="63" spans="1:3" x14ac:dyDescent="0.2">
      <c r="A63">
        <v>36</v>
      </c>
      <c r="B63">
        <v>19570.796984908317</v>
      </c>
      <c r="C63">
        <v>628.20301509168348</v>
      </c>
    </row>
    <row r="64" spans="1:3" x14ac:dyDescent="0.2">
      <c r="A64">
        <v>37</v>
      </c>
      <c r="B64">
        <v>28338.039237528523</v>
      </c>
      <c r="C64">
        <v>1198.9607624714772</v>
      </c>
    </row>
    <row r="65" spans="1:3" x14ac:dyDescent="0.2">
      <c r="A65">
        <v>38</v>
      </c>
      <c r="B65">
        <v>35150.245157905287</v>
      </c>
      <c r="C65">
        <v>2712.7548420947132</v>
      </c>
    </row>
    <row r="66" spans="1:3" x14ac:dyDescent="0.2">
      <c r="A66">
        <v>39</v>
      </c>
      <c r="B66">
        <v>26992.077083645068</v>
      </c>
      <c r="C66">
        <v>1944.9229163549317</v>
      </c>
    </row>
    <row r="67" spans="1:3" x14ac:dyDescent="0.2">
      <c r="A67">
        <v>40</v>
      </c>
      <c r="B67">
        <v>35042.338657301094</v>
      </c>
      <c r="C67">
        <v>-1399.3386573010939</v>
      </c>
    </row>
    <row r="68" spans="1:3" x14ac:dyDescent="0.2">
      <c r="A68">
        <v>41</v>
      </c>
      <c r="B68">
        <v>37347.78068622922</v>
      </c>
      <c r="C68">
        <v>5017.21931377078</v>
      </c>
    </row>
    <row r="69" spans="1:3" x14ac:dyDescent="0.2">
      <c r="A69">
        <v>42</v>
      </c>
      <c r="B69">
        <v>29660.501624344564</v>
      </c>
      <c r="C69">
        <v>-3163.5016243445643</v>
      </c>
    </row>
    <row r="70" spans="1:3" x14ac:dyDescent="0.2">
      <c r="A70">
        <v>43</v>
      </c>
      <c r="B70">
        <v>26003.176640509264</v>
      </c>
      <c r="C70">
        <v>-7908.176640509264</v>
      </c>
    </row>
    <row r="71" spans="1:3" x14ac:dyDescent="0.2">
      <c r="A71">
        <v>44</v>
      </c>
      <c r="B71">
        <v>19304.390274791524</v>
      </c>
      <c r="C71">
        <v>488.60972520847645</v>
      </c>
    </row>
    <row r="72" spans="1:3" x14ac:dyDescent="0.2">
      <c r="A72">
        <v>45</v>
      </c>
      <c r="B72">
        <v>27336.072426315353</v>
      </c>
      <c r="C72">
        <v>3158.9275736846466</v>
      </c>
    </row>
    <row r="73" spans="1:3" x14ac:dyDescent="0.2">
      <c r="A73">
        <v>46</v>
      </c>
      <c r="B73">
        <v>27428.053449958039</v>
      </c>
      <c r="C73">
        <v>-1576.053449958039</v>
      </c>
    </row>
    <row r="74" spans="1:3" x14ac:dyDescent="0.2">
      <c r="A74">
        <v>47</v>
      </c>
      <c r="B74">
        <v>41641.487261923219</v>
      </c>
      <c r="C74">
        <v>73.512738076780806</v>
      </c>
    </row>
    <row r="75" spans="1:3" x14ac:dyDescent="0.2">
      <c r="A75">
        <v>48</v>
      </c>
      <c r="B75">
        <v>15268.550172036301</v>
      </c>
      <c r="C75">
        <v>3993.4498279636991</v>
      </c>
    </row>
    <row r="76" spans="1:3" x14ac:dyDescent="0.2">
      <c r="A76">
        <v>49</v>
      </c>
      <c r="B76">
        <v>13591.851310144906</v>
      </c>
      <c r="C76">
        <v>2598.1486898550938</v>
      </c>
    </row>
    <row r="77" spans="1:3" x14ac:dyDescent="0.2">
      <c r="A77">
        <v>50</v>
      </c>
      <c r="B77">
        <v>29191.536058051955</v>
      </c>
      <c r="C77">
        <v>-3296.5360580519555</v>
      </c>
    </row>
    <row r="78" spans="1:3" x14ac:dyDescent="0.2">
      <c r="A78">
        <v>51</v>
      </c>
      <c r="B78">
        <v>32969.64397653073</v>
      </c>
      <c r="C78">
        <v>6284.3560234692704</v>
      </c>
    </row>
    <row r="79" spans="1:3" x14ac:dyDescent="0.2">
      <c r="A79">
        <v>52</v>
      </c>
      <c r="B79">
        <v>36791.855826354702</v>
      </c>
      <c r="C79">
        <v>-5676.855826354702</v>
      </c>
    </row>
    <row r="80" spans="1:3" x14ac:dyDescent="0.2">
      <c r="A80">
        <v>53</v>
      </c>
      <c r="B80">
        <v>25735.005585522871</v>
      </c>
      <c r="C80">
        <v>-1383.0055855228711</v>
      </c>
    </row>
    <row r="81" spans="1:3" x14ac:dyDescent="0.2">
      <c r="A81">
        <v>54</v>
      </c>
      <c r="B81">
        <v>22747.13759563744</v>
      </c>
      <c r="C81">
        <v>1485.8624043625605</v>
      </c>
    </row>
    <row r="82" spans="1:3" x14ac:dyDescent="0.2">
      <c r="A82">
        <v>55</v>
      </c>
      <c r="B82">
        <v>26540.114467802461</v>
      </c>
      <c r="C82">
        <v>-123.11446780246115</v>
      </c>
    </row>
    <row r="83" spans="1:3" x14ac:dyDescent="0.2">
      <c r="A83">
        <v>56</v>
      </c>
      <c r="B83">
        <v>31731.030728082842</v>
      </c>
      <c r="C83">
        <v>1301.969271917158</v>
      </c>
    </row>
    <row r="84" spans="1:3" x14ac:dyDescent="0.2">
      <c r="A84">
        <v>57</v>
      </c>
      <c r="B84">
        <v>30671.072656266588</v>
      </c>
      <c r="C84">
        <v>-5496.0726562665877</v>
      </c>
    </row>
    <row r="85" spans="1:3" x14ac:dyDescent="0.2">
      <c r="A85">
        <v>58</v>
      </c>
      <c r="B85">
        <v>24416.341674459898</v>
      </c>
      <c r="C85">
        <v>-2574.3416744598981</v>
      </c>
    </row>
    <row r="86" spans="1:3" x14ac:dyDescent="0.2">
      <c r="A86">
        <v>59</v>
      </c>
      <c r="B86">
        <v>28908.699406717165</v>
      </c>
      <c r="C86">
        <v>636.3005932828346</v>
      </c>
    </row>
    <row r="87" spans="1:3" x14ac:dyDescent="0.2">
      <c r="A87">
        <v>60</v>
      </c>
      <c r="B87">
        <v>25510.819125378064</v>
      </c>
      <c r="C87">
        <v>-2874.8191253780642</v>
      </c>
    </row>
    <row r="88" spans="1:3" x14ac:dyDescent="0.2">
      <c r="A88">
        <v>61</v>
      </c>
      <c r="B88">
        <v>23238.31124580012</v>
      </c>
      <c r="C88">
        <v>1605.6887541998803</v>
      </c>
    </row>
    <row r="89" spans="1:3" x14ac:dyDescent="0.2">
      <c r="A89">
        <v>62</v>
      </c>
      <c r="B89">
        <v>24816.902500891596</v>
      </c>
      <c r="C89">
        <v>-331.90250089159599</v>
      </c>
    </row>
    <row r="90" spans="1:3" x14ac:dyDescent="0.2">
      <c r="A90">
        <v>63</v>
      </c>
      <c r="B90">
        <v>30494.471436574178</v>
      </c>
      <c r="C90">
        <v>-1739.4714365741784</v>
      </c>
    </row>
    <row r="91" spans="1:3" x14ac:dyDescent="0.2">
      <c r="A91">
        <v>64</v>
      </c>
      <c r="B91">
        <v>22856.926148515482</v>
      </c>
      <c r="C91">
        <v>4526.0738514845179</v>
      </c>
    </row>
    <row r="92" spans="1:3" x14ac:dyDescent="0.2">
      <c r="A92">
        <v>65</v>
      </c>
      <c r="B92">
        <v>16639.496160092571</v>
      </c>
      <c r="C92">
        <v>878.50383990742921</v>
      </c>
    </row>
    <row r="93" spans="1:3" x14ac:dyDescent="0.2">
      <c r="A93">
        <v>66</v>
      </c>
      <c r="B93">
        <v>31993.332918328604</v>
      </c>
      <c r="C93">
        <v>2663.6670816713959</v>
      </c>
    </row>
    <row r="94" spans="1:3" x14ac:dyDescent="0.2">
      <c r="A94">
        <v>67</v>
      </c>
      <c r="B94">
        <v>9919.7242049841589</v>
      </c>
      <c r="C94">
        <v>-1725.7242049841589</v>
      </c>
    </row>
    <row r="95" spans="1:3" x14ac:dyDescent="0.2">
      <c r="A95">
        <v>68</v>
      </c>
      <c r="B95">
        <v>27487.887848226805</v>
      </c>
      <c r="C95">
        <v>-655.88784822680464</v>
      </c>
    </row>
    <row r="96" spans="1:3" x14ac:dyDescent="0.2">
      <c r="A96">
        <v>69</v>
      </c>
      <c r="B96">
        <v>36528.729681256656</v>
      </c>
      <c r="C96">
        <v>3207.2703187433435</v>
      </c>
    </row>
    <row r="97" spans="1:3" x14ac:dyDescent="0.2">
      <c r="A97">
        <v>70</v>
      </c>
      <c r="B97">
        <v>20978.801496171618</v>
      </c>
      <c r="C97">
        <v>-1892.8014961716181</v>
      </c>
    </row>
    <row r="98" spans="1:3" x14ac:dyDescent="0.2">
      <c r="A98">
        <v>71</v>
      </c>
      <c r="B98">
        <v>33720.569874895511</v>
      </c>
      <c r="C98">
        <v>2701.430125104489</v>
      </c>
    </row>
    <row r="99" spans="1:3" x14ac:dyDescent="0.2">
      <c r="A99">
        <v>72</v>
      </c>
      <c r="B99">
        <v>15118.279378303048</v>
      </c>
      <c r="C99">
        <v>3220.7206216969516</v>
      </c>
    </row>
    <row r="100" spans="1:3" x14ac:dyDescent="0.2">
      <c r="A100">
        <v>73</v>
      </c>
      <c r="B100">
        <v>19740.987163864189</v>
      </c>
      <c r="C100">
        <v>1924.0128361358111</v>
      </c>
    </row>
    <row r="101" spans="1:3" x14ac:dyDescent="0.2">
      <c r="A101">
        <v>74</v>
      </c>
      <c r="B101">
        <v>33773.189515964987</v>
      </c>
      <c r="C101">
        <v>-359.18951596498664</v>
      </c>
    </row>
    <row r="102" spans="1:3" x14ac:dyDescent="0.2">
      <c r="A102">
        <v>75</v>
      </c>
      <c r="B102">
        <v>37807.335352409908</v>
      </c>
      <c r="C102">
        <v>1785.6646475900925</v>
      </c>
    </row>
    <row r="103" spans="1:3" x14ac:dyDescent="0.2">
      <c r="A103">
        <v>76</v>
      </c>
      <c r="B103">
        <v>28788.788290144548</v>
      </c>
      <c r="C103">
        <v>-1623.7882901445482</v>
      </c>
    </row>
    <row r="104" spans="1:3" x14ac:dyDescent="0.2">
      <c r="A104">
        <v>77</v>
      </c>
      <c r="B104">
        <v>21817.84672589273</v>
      </c>
      <c r="C104">
        <v>769.15327410726968</v>
      </c>
    </row>
    <row r="105" spans="1:3" x14ac:dyDescent="0.2">
      <c r="A105">
        <v>78</v>
      </c>
      <c r="B105">
        <v>32060.646546033775</v>
      </c>
      <c r="C105">
        <v>-1121.6465460337749</v>
      </c>
    </row>
    <row r="106" spans="1:3" x14ac:dyDescent="0.2">
      <c r="A106">
        <v>79</v>
      </c>
      <c r="B106">
        <v>21546.866355887905</v>
      </c>
      <c r="C106">
        <v>-3145.8663558879052</v>
      </c>
    </row>
    <row r="107" spans="1:3" x14ac:dyDescent="0.2">
      <c r="A107">
        <v>80</v>
      </c>
      <c r="B107">
        <v>22405.327526399211</v>
      </c>
      <c r="C107">
        <v>-2981.3275263992109</v>
      </c>
    </row>
    <row r="108" spans="1:3" x14ac:dyDescent="0.2">
      <c r="A108">
        <v>81</v>
      </c>
      <c r="B108">
        <v>23447.478680315318</v>
      </c>
      <c r="C108">
        <v>-6183.4786803153183</v>
      </c>
    </row>
    <row r="109" spans="1:3" x14ac:dyDescent="0.2">
      <c r="A109">
        <v>82</v>
      </c>
      <c r="B109">
        <v>26601.225926808525</v>
      </c>
      <c r="C109">
        <v>4149.7740731914746</v>
      </c>
    </row>
    <row r="110" spans="1:3" x14ac:dyDescent="0.2">
      <c r="A110">
        <v>83</v>
      </c>
      <c r="B110">
        <v>26955.599335213381</v>
      </c>
      <c r="C110">
        <v>-246.59933521338098</v>
      </c>
    </row>
    <row r="111" spans="1:3" x14ac:dyDescent="0.2">
      <c r="A111">
        <v>84</v>
      </c>
      <c r="B111">
        <v>22961.652281107614</v>
      </c>
      <c r="C111">
        <v>649.34771889238618</v>
      </c>
    </row>
    <row r="112" spans="1:3" x14ac:dyDescent="0.2">
      <c r="A112">
        <v>85</v>
      </c>
      <c r="B112">
        <v>28666.351622325808</v>
      </c>
      <c r="C112">
        <v>-2594.3516223258084</v>
      </c>
    </row>
    <row r="113" spans="1:3" x14ac:dyDescent="0.2">
      <c r="A113">
        <v>86</v>
      </c>
      <c r="B113">
        <v>16213.3126072209</v>
      </c>
      <c r="C113">
        <v>143.68739277910026</v>
      </c>
    </row>
    <row r="114" spans="1:3" x14ac:dyDescent="0.2">
      <c r="A114">
        <v>87</v>
      </c>
      <c r="B114">
        <v>14834.416434190845</v>
      </c>
      <c r="C114">
        <v>547.58356580915461</v>
      </c>
    </row>
    <row r="115" spans="1:3" x14ac:dyDescent="0.2">
      <c r="A115">
        <v>88</v>
      </c>
      <c r="B115">
        <v>32293.799438048427</v>
      </c>
      <c r="C115">
        <v>-2502.799438048427</v>
      </c>
    </row>
    <row r="116" spans="1:3" x14ac:dyDescent="0.2">
      <c r="A116">
        <v>89</v>
      </c>
      <c r="B116">
        <v>18342.036997880517</v>
      </c>
      <c r="C116">
        <v>-836.03699788051745</v>
      </c>
    </row>
    <row r="117" spans="1:3" x14ac:dyDescent="0.2">
      <c r="A117">
        <v>90</v>
      </c>
      <c r="B117">
        <v>29332.125497090416</v>
      </c>
      <c r="C117">
        <v>644.87450290958441</v>
      </c>
    </row>
    <row r="118" spans="1:3" x14ac:dyDescent="0.2">
      <c r="A118">
        <v>91</v>
      </c>
      <c r="B118">
        <v>22103.963795728672</v>
      </c>
      <c r="C118">
        <v>-3035.9637957286723</v>
      </c>
    </row>
    <row r="119" spans="1:3" x14ac:dyDescent="0.2">
      <c r="A119">
        <v>92</v>
      </c>
      <c r="B119">
        <v>28160.228955389899</v>
      </c>
      <c r="C119">
        <v>282.77104461010094</v>
      </c>
    </row>
    <row r="120" spans="1:3" x14ac:dyDescent="0.2">
      <c r="A120">
        <v>93</v>
      </c>
      <c r="B120">
        <v>28214.306335803929</v>
      </c>
      <c r="C120">
        <v>-730.30633580392896</v>
      </c>
    </row>
    <row r="121" spans="1:3" x14ac:dyDescent="0.2">
      <c r="A121">
        <v>94</v>
      </c>
      <c r="B121">
        <v>20695.603526757131</v>
      </c>
      <c r="C121">
        <v>173.39647324286852</v>
      </c>
    </row>
    <row r="122" spans="1:3" x14ac:dyDescent="0.2">
      <c r="A122">
        <v>95</v>
      </c>
      <c r="B122">
        <v>26679.808773466255</v>
      </c>
      <c r="C122">
        <v>5240.1912265337451</v>
      </c>
    </row>
    <row r="123" spans="1:3" x14ac:dyDescent="0.2">
      <c r="A123">
        <v>96</v>
      </c>
      <c r="B123">
        <v>17221.898042022614</v>
      </c>
      <c r="C123">
        <v>-5702.8980420226144</v>
      </c>
    </row>
    <row r="124" spans="1:3" x14ac:dyDescent="0.2">
      <c r="A124">
        <v>97</v>
      </c>
      <c r="B124">
        <v>31218.333613818821</v>
      </c>
      <c r="C124">
        <v>-765.3336138188206</v>
      </c>
    </row>
    <row r="125" spans="1:3" x14ac:dyDescent="0.2">
      <c r="A125">
        <v>98</v>
      </c>
      <c r="B125">
        <v>21620.406121663131</v>
      </c>
      <c r="C125">
        <v>-4477.4061216631308</v>
      </c>
    </row>
    <row r="126" spans="1:3" x14ac:dyDescent="0.2">
      <c r="A126">
        <v>99</v>
      </c>
      <c r="B126">
        <v>35076.536473667438</v>
      </c>
      <c r="C126">
        <v>-956.53647366743826</v>
      </c>
    </row>
    <row r="127" spans="1:3" ht="17" thickBot="1" x14ac:dyDescent="0.25">
      <c r="A127" s="75">
        <v>100</v>
      </c>
      <c r="B127" s="75">
        <v>25574.982356589637</v>
      </c>
      <c r="C127" s="75">
        <v>-2254.9823565896368</v>
      </c>
    </row>
  </sheetData>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8A916C-DF6B-9B49-A126-3D1191025E42}">
  <dimension ref="A1"/>
  <sheetViews>
    <sheetView zoomScale="120" zoomScaleNormal="120" workbookViewId="0">
      <selection activeCell="K23" sqref="K23"/>
    </sheetView>
  </sheetViews>
  <sheetFormatPr baseColWidth="10" defaultRowHeight="16" x14ac:dyDescent="0.2"/>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311853-AAC3-5C4D-93AF-EAF6A407B15A}">
  <dimension ref="A1:J17"/>
  <sheetViews>
    <sheetView zoomScale="180" zoomScaleNormal="180" workbookViewId="0">
      <selection activeCell="C21" sqref="C21"/>
    </sheetView>
  </sheetViews>
  <sheetFormatPr baseColWidth="10" defaultRowHeight="16" x14ac:dyDescent="0.2"/>
  <cols>
    <col min="3" max="3" width="15.83203125" bestFit="1" customWidth="1"/>
    <col min="8" max="8" width="11.83203125" bestFit="1" customWidth="1"/>
    <col min="10" max="10" width="29.33203125" customWidth="1"/>
  </cols>
  <sheetData>
    <row r="1" spans="1:10" ht="215" customHeight="1" thickBot="1" x14ac:dyDescent="0.25">
      <c r="A1" s="113" t="s">
        <v>325</v>
      </c>
      <c r="B1" s="114"/>
      <c r="C1" s="114"/>
      <c r="D1" s="114"/>
      <c r="E1" s="114"/>
      <c r="F1" s="114"/>
      <c r="G1" s="114"/>
      <c r="H1" s="114"/>
      <c r="I1" s="114"/>
      <c r="J1" s="115"/>
    </row>
    <row r="2" spans="1:10" x14ac:dyDescent="0.2">
      <c r="A2" t="s">
        <v>320</v>
      </c>
    </row>
    <row r="3" spans="1:10" x14ac:dyDescent="0.2">
      <c r="A3" s="85">
        <f>H8</f>
        <v>23594.011026108936</v>
      </c>
      <c r="B3">
        <v>5</v>
      </c>
      <c r="C3">
        <v>10</v>
      </c>
      <c r="D3">
        <v>15</v>
      </c>
      <c r="E3">
        <v>20</v>
      </c>
      <c r="G3" t="s">
        <v>321</v>
      </c>
      <c r="H3" s="81">
        <v>0.5</v>
      </c>
    </row>
    <row r="4" spans="1:10" x14ac:dyDescent="0.2">
      <c r="A4" s="81">
        <v>0.5</v>
      </c>
      <c r="G4" t="s">
        <v>322</v>
      </c>
      <c r="H4">
        <v>2300000</v>
      </c>
    </row>
    <row r="5" spans="1:10" x14ac:dyDescent="0.2">
      <c r="A5" s="81">
        <v>0.55000000000000004</v>
      </c>
      <c r="G5" t="s">
        <v>323</v>
      </c>
      <c r="H5" s="82">
        <f>H4*H3</f>
        <v>1150000</v>
      </c>
    </row>
    <row r="6" spans="1:10" x14ac:dyDescent="0.2">
      <c r="A6" s="81">
        <v>0.6</v>
      </c>
      <c r="G6" t="s">
        <v>3</v>
      </c>
      <c r="H6" s="83">
        <v>8.5000000000000006E-2</v>
      </c>
    </row>
    <row r="7" spans="1:10" x14ac:dyDescent="0.2">
      <c r="A7" s="81">
        <v>0.65</v>
      </c>
      <c r="G7" t="s">
        <v>13</v>
      </c>
      <c r="H7" s="82">
        <v>60</v>
      </c>
    </row>
    <row r="8" spans="1:10" x14ac:dyDescent="0.2">
      <c r="A8" s="81">
        <v>0.7</v>
      </c>
      <c r="G8" t="s">
        <v>324</v>
      </c>
      <c r="H8" s="85">
        <f>-PMT(H6/12,H7,H4*H3)</f>
        <v>23594.011026108936</v>
      </c>
    </row>
    <row r="10" spans="1:10" x14ac:dyDescent="0.2">
      <c r="A10" t="s">
        <v>328</v>
      </c>
    </row>
    <row r="11" spans="1:10" x14ac:dyDescent="0.2">
      <c r="A11" s="8" t="s">
        <v>326</v>
      </c>
      <c r="B11" t="s">
        <v>327</v>
      </c>
    </row>
    <row r="12" spans="1:10" x14ac:dyDescent="0.2">
      <c r="B12" s="86" t="s">
        <v>321</v>
      </c>
      <c r="C12" s="87">
        <v>0.7</v>
      </c>
    </row>
    <row r="13" spans="1:10" x14ac:dyDescent="0.2">
      <c r="B13" t="s">
        <v>322</v>
      </c>
      <c r="C13" s="84">
        <v>3100000000</v>
      </c>
    </row>
    <row r="14" spans="1:10" x14ac:dyDescent="0.2">
      <c r="B14" s="86" t="s">
        <v>13</v>
      </c>
      <c r="C14" s="86">
        <v>180</v>
      </c>
    </row>
    <row r="15" spans="1:10" ht="34" x14ac:dyDescent="0.2">
      <c r="B15" s="74" t="s">
        <v>329</v>
      </c>
      <c r="C15" s="84">
        <f>-PMT(H6/12,C14,C13*C12)</f>
        <v>21368848.406985376</v>
      </c>
    </row>
    <row r="16" spans="1:10" x14ac:dyDescent="0.2">
      <c r="B16" s="86" t="s">
        <v>330</v>
      </c>
      <c r="C16" s="85">
        <v>10000000</v>
      </c>
    </row>
    <row r="17" spans="2:3" x14ac:dyDescent="0.2">
      <c r="B17" s="88" t="s">
        <v>331</v>
      </c>
      <c r="C17" s="89">
        <f>C16-C15</f>
        <v>-11368848.406985376</v>
      </c>
    </row>
  </sheetData>
  <scenarios current="0" sqref="C17">
    <scenario name=" Vay tien #1 " locked="1" count="3" user="Microsoft Office User" comment="Created by Microsoft Office User on 2025-09-27_x000a_Modified by Microsoft Office User on 2025-09-27">
      <inputCells r="C12" val="0.7" numFmtId="9"/>
      <inputCells r="C14" val="180"/>
      <inputCells r="C16" val="10000000" numFmtId="40"/>
    </scenario>
  </scenarios>
  <mergeCells count="1">
    <mergeCell ref="A1:J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7</vt:i4>
      </vt:variant>
      <vt:variant>
        <vt:lpstr>Named Ranges</vt:lpstr>
      </vt:variant>
      <vt:variant>
        <vt:i4>16</vt:i4>
      </vt:variant>
    </vt:vector>
  </HeadingPairs>
  <TitlesOfParts>
    <vt:vector size="23" baseType="lpstr">
      <vt:lpstr>Scenario Summary</vt:lpstr>
      <vt:lpstr>Demo 1</vt:lpstr>
      <vt:lpstr>Demo 2</vt:lpstr>
      <vt:lpstr>Demo 3</vt:lpstr>
      <vt:lpstr>Demo 3_Result</vt:lpstr>
      <vt:lpstr>Demo 4</vt:lpstr>
      <vt:lpstr>Practice</vt:lpstr>
      <vt:lpstr>BienDoiCPBD</vt:lpstr>
      <vt:lpstr>BienDoiCPCD</vt:lpstr>
      <vt:lpstr>BienDoiDS</vt:lpstr>
      <vt:lpstr>BienDoiSP</vt:lpstr>
      <vt:lpstr>ChiPhiBD</vt:lpstr>
      <vt:lpstr>ChiPhiCD</vt:lpstr>
      <vt:lpstr>ChiPhiHT</vt:lpstr>
      <vt:lpstr>DoanhSo</vt:lpstr>
      <vt:lpstr>DoanhThuHT</vt:lpstr>
      <vt:lpstr>DonGia</vt:lpstr>
      <vt:lpstr>KhoanThanhToan</vt:lpstr>
      <vt:lpstr>KhoanVay</vt:lpstr>
      <vt:lpstr>LaiSuat</vt:lpstr>
      <vt:lpstr>LoiNhuan</vt:lpstr>
      <vt:lpstr>LoiNhuanHT</vt:lpstr>
      <vt:lpstr>TongKyHan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Microsoft Office User</dc:creator>
  <cp:lastModifiedBy>Vũ Thị Mỹ Hằng</cp:lastModifiedBy>
  <dcterms:created xsi:type="dcterms:W3CDTF">2024-09-05T15:40:35Z</dcterms:created>
  <dcterms:modified xsi:type="dcterms:W3CDTF">2026-09-10T10:24:35Z</dcterms:modified>
</cp:coreProperties>
</file>